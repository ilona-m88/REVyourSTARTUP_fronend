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1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jit0-my.sharepoint.com/personal/msa223_njit_edu/Documents/Capstone NJIT/Excel Files/"/>
    </mc:Choice>
  </mc:AlternateContent>
  <xr:revisionPtr revIDLastSave="0" documentId="8_{E20A2299-A92F-427B-8C13-D1090839B9E2}" xr6:coauthVersionLast="47" xr6:coauthVersionMax="47" xr10:uidLastSave="{00000000-0000-0000-0000-000000000000}"/>
  <bookViews>
    <workbookView xWindow="-108" yWindow="-108" windowWidth="23256" windowHeight="12576" firstSheet="2" activeTab="2" xr2:uid="{00000000-000D-0000-FFFF-FFFF00000000}"/>
  </bookViews>
  <sheets>
    <sheet name="Reverse Engineering Valuation" sheetId="1" r:id="rId1"/>
    <sheet name="Pro Forma" sheetId="2" r:id="rId2"/>
    <sheet name="Year 1" sheetId="3" r:id="rId3"/>
    <sheet name="Depreciation" sheetId="9" r:id="rId4"/>
    <sheet name="Year 2" sheetId="12" r:id="rId5"/>
    <sheet name="Year 3" sheetId="13" r:id="rId6"/>
    <sheet name="Multipliers " sheetId="14" r:id="rId7"/>
  </sheets>
  <externalReferences>
    <externalReference r:id="rId8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" l="1"/>
  <c r="A4" i="3"/>
  <c r="B5" i="3"/>
  <c r="I11" i="9"/>
  <c r="J11" i="9"/>
  <c r="I4" i="9"/>
  <c r="B9" i="1"/>
  <c r="B7" i="1"/>
  <c r="I2" i="9"/>
  <c r="J7" i="9"/>
  <c r="L2" i="9"/>
  <c r="C13" i="2"/>
  <c r="D212" i="3"/>
  <c r="D206" i="3"/>
  <c r="E206" i="3" s="1"/>
  <c r="F206" i="3" s="1"/>
  <c r="G206" i="3" s="1"/>
  <c r="H206" i="3" s="1"/>
  <c r="I206" i="3" s="1"/>
  <c r="J206" i="3" s="1"/>
  <c r="K206" i="3" s="1"/>
  <c r="L206" i="3" s="1"/>
  <c r="M206" i="3" s="1"/>
  <c r="N206" i="3" s="1"/>
  <c r="C203" i="3"/>
  <c r="D203" i="3"/>
  <c r="E203" i="3" s="1"/>
  <c r="F203" i="3" s="1"/>
  <c r="G203" i="3" s="1"/>
  <c r="H203" i="3" s="1"/>
  <c r="I203" i="3" s="1"/>
  <c r="J203" i="3" s="1"/>
  <c r="K203" i="3" s="1"/>
  <c r="L203" i="3" s="1"/>
  <c r="M203" i="3" s="1"/>
  <c r="N203" i="3" s="1"/>
  <c r="D193" i="3"/>
  <c r="E193" i="3" s="1"/>
  <c r="F193" i="3" s="1"/>
  <c r="G193" i="3" s="1"/>
  <c r="H193" i="3" s="1"/>
  <c r="I193" i="3" s="1"/>
  <c r="J193" i="3" s="1"/>
  <c r="K193" i="3" s="1"/>
  <c r="L193" i="3" s="1"/>
  <c r="M193" i="3" s="1"/>
  <c r="N193" i="3" s="1"/>
  <c r="D192" i="3"/>
  <c r="E192" i="3" s="1"/>
  <c r="F192" i="3" s="1"/>
  <c r="G192" i="3" s="1"/>
  <c r="H192" i="3" s="1"/>
  <c r="I192" i="3" s="1"/>
  <c r="J192" i="3" s="1"/>
  <c r="K192" i="3" s="1"/>
  <c r="L192" i="3" s="1"/>
  <c r="M192" i="3" s="1"/>
  <c r="N192" i="3" s="1"/>
  <c r="D190" i="3"/>
  <c r="E190" i="3" s="1"/>
  <c r="F190" i="3" s="1"/>
  <c r="G190" i="3" s="1"/>
  <c r="H190" i="3" s="1"/>
  <c r="I190" i="3" s="1"/>
  <c r="J190" i="3" s="1"/>
  <c r="K190" i="3" s="1"/>
  <c r="L190" i="3" s="1"/>
  <c r="M190" i="3" s="1"/>
  <c r="N190" i="3" s="1"/>
  <c r="D189" i="3"/>
  <c r="E189" i="3" s="1"/>
  <c r="F189" i="3" s="1"/>
  <c r="G189" i="3" s="1"/>
  <c r="H189" i="3" s="1"/>
  <c r="I189" i="3" s="1"/>
  <c r="J189" i="3" s="1"/>
  <c r="K189" i="3" s="1"/>
  <c r="L189" i="3" s="1"/>
  <c r="M189" i="3" s="1"/>
  <c r="N189" i="3" s="1"/>
  <c r="F185" i="3"/>
  <c r="G185" i="3" s="1"/>
  <c r="H185" i="3" s="1"/>
  <c r="I185" i="3" s="1"/>
  <c r="J185" i="3" s="1"/>
  <c r="K185" i="3" s="1"/>
  <c r="L185" i="3" s="1"/>
  <c r="M185" i="3" s="1"/>
  <c r="N185" i="3" s="1"/>
  <c r="D185" i="3"/>
  <c r="E182" i="3"/>
  <c r="F182" i="3" s="1"/>
  <c r="G182" i="3" s="1"/>
  <c r="H182" i="3" s="1"/>
  <c r="I182" i="3" s="1"/>
  <c r="J182" i="3" s="1"/>
  <c r="K182" i="3" s="1"/>
  <c r="L182" i="3" s="1"/>
  <c r="M182" i="3" s="1"/>
  <c r="N182" i="3" s="1"/>
  <c r="D176" i="3"/>
  <c r="E176" i="3" s="1"/>
  <c r="F176" i="3" s="1"/>
  <c r="G176" i="3" s="1"/>
  <c r="H176" i="3" s="1"/>
  <c r="I176" i="3" s="1"/>
  <c r="J176" i="3" s="1"/>
  <c r="K176" i="3" s="1"/>
  <c r="L176" i="3" s="1"/>
  <c r="M176" i="3" s="1"/>
  <c r="N176" i="3" s="1"/>
  <c r="D175" i="3"/>
  <c r="E175" i="3" s="1"/>
  <c r="F175" i="3" s="1"/>
  <c r="G175" i="3" s="1"/>
  <c r="H175" i="3" s="1"/>
  <c r="I175" i="3" s="1"/>
  <c r="J175" i="3" s="1"/>
  <c r="K175" i="3" s="1"/>
  <c r="L175" i="3" s="1"/>
  <c r="M175" i="3" s="1"/>
  <c r="N175" i="3" s="1"/>
  <c r="A91" i="13"/>
  <c r="A70" i="13"/>
  <c r="A91" i="12"/>
  <c r="A70" i="12"/>
  <c r="A7" i="12"/>
  <c r="A88" i="3"/>
  <c r="A67" i="3"/>
  <c r="A46" i="3"/>
  <c r="A25" i="3"/>
  <c r="D162" i="3" l="1"/>
  <c r="E162" i="3" s="1"/>
  <c r="F162" i="3" s="1"/>
  <c r="G162" i="3" s="1"/>
  <c r="H162" i="3" s="1"/>
  <c r="I162" i="3" s="1"/>
  <c r="J162" i="3" s="1"/>
  <c r="K162" i="3" s="1"/>
  <c r="L162" i="3" s="1"/>
  <c r="M162" i="3" s="1"/>
  <c r="N162" i="3" s="1"/>
  <c r="C150" i="3"/>
  <c r="D150" i="3" s="1"/>
  <c r="E150" i="3" s="1"/>
  <c r="F150" i="3" s="1"/>
  <c r="G150" i="3" s="1"/>
  <c r="H150" i="3" s="1"/>
  <c r="I150" i="3" s="1"/>
  <c r="J150" i="3" s="1"/>
  <c r="K150" i="3" s="1"/>
  <c r="L150" i="3" s="1"/>
  <c r="M150" i="3" s="1"/>
  <c r="N150" i="3" s="1"/>
  <c r="D160" i="3"/>
  <c r="E160" i="3" s="1"/>
  <c r="F160" i="3" s="1"/>
  <c r="G160" i="3" s="1"/>
  <c r="H160" i="3" s="1"/>
  <c r="I160" i="3" s="1"/>
  <c r="J160" i="3" s="1"/>
  <c r="K160" i="3" s="1"/>
  <c r="L160" i="3" s="1"/>
  <c r="M160" i="3" s="1"/>
  <c r="N160" i="3" s="1"/>
  <c r="E125" i="3"/>
  <c r="H26" i="3" l="1"/>
  <c r="I26" i="3" s="1"/>
  <c r="J26" i="3" s="1"/>
  <c r="L26" i="3" s="1"/>
  <c r="N26" i="3" s="1"/>
  <c r="AJ91" i="13" l="1"/>
  <c r="AI91" i="13"/>
  <c r="AH91" i="13"/>
  <c r="AG91" i="13"/>
  <c r="AF91" i="13"/>
  <c r="AE91" i="13"/>
  <c r="AD91" i="13"/>
  <c r="AC91" i="13"/>
  <c r="AB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V70" i="13"/>
  <c r="U70" i="13"/>
  <c r="T70" i="13"/>
  <c r="S70" i="13"/>
  <c r="R70" i="13"/>
  <c r="Q70" i="13"/>
  <c r="P70" i="13"/>
  <c r="O70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B31" i="1" l="1"/>
  <c r="B29" i="1" l="1"/>
  <c r="B27" i="1"/>
  <c r="A27" i="1"/>
  <c r="A7" i="13" s="1"/>
  <c r="B35" i="1" l="1"/>
  <c r="B28" i="1" s="1"/>
  <c r="A36" i="1"/>
  <c r="A35" i="1"/>
  <c r="A28" i="1" l="1"/>
  <c r="A28" i="13" s="1"/>
  <c r="A28" i="12"/>
  <c r="A49" i="12"/>
  <c r="A29" i="1"/>
  <c r="A49" i="13" s="1"/>
  <c r="F32" i="1"/>
  <c r="E32" i="1"/>
  <c r="F39" i="1"/>
  <c r="E39" i="1"/>
  <c r="E46" i="1"/>
  <c r="F46" i="1"/>
  <c r="D7" i="1" l="1"/>
  <c r="G8" i="1"/>
  <c r="G7" i="1" s="1"/>
  <c r="G10" i="1"/>
  <c r="G11" i="1" s="1"/>
  <c r="C12" i="1"/>
  <c r="H6" i="1"/>
  <c r="I9" i="1"/>
  <c r="B249" i="12"/>
  <c r="B248" i="13" s="1"/>
  <c r="B275" i="12"/>
  <c r="B274" i="13" s="1"/>
  <c r="B8" i="13"/>
  <c r="N9" i="13" s="1"/>
  <c r="N10" i="13"/>
  <c r="N12" i="13"/>
  <c r="N13" i="13"/>
  <c r="N14" i="13"/>
  <c r="N15" i="13"/>
  <c r="N16" i="13"/>
  <c r="N17" i="13"/>
  <c r="N18" i="13"/>
  <c r="N19" i="13"/>
  <c r="N20" i="13"/>
  <c r="N21" i="13"/>
  <c r="N22" i="13"/>
  <c r="B29" i="13"/>
  <c r="N30" i="13" s="1"/>
  <c r="N31" i="13"/>
  <c r="N33" i="13"/>
  <c r="N34" i="13"/>
  <c r="N35" i="13"/>
  <c r="N36" i="13"/>
  <c r="N37" i="13"/>
  <c r="N38" i="13"/>
  <c r="N39" i="13"/>
  <c r="N40" i="13"/>
  <c r="N41" i="13"/>
  <c r="N42" i="13"/>
  <c r="N43" i="13"/>
  <c r="B50" i="13"/>
  <c r="N51" i="13" s="1"/>
  <c r="N52" i="13"/>
  <c r="N54" i="13"/>
  <c r="N55" i="13"/>
  <c r="N56" i="13"/>
  <c r="N57" i="13"/>
  <c r="N58" i="13"/>
  <c r="N59" i="13"/>
  <c r="N60" i="13"/>
  <c r="N61" i="13"/>
  <c r="N62" i="13"/>
  <c r="N63" i="13"/>
  <c r="N64" i="13"/>
  <c r="B71" i="13"/>
  <c r="N72" i="13" s="1"/>
  <c r="N73" i="13"/>
  <c r="N75" i="13"/>
  <c r="N76" i="13"/>
  <c r="N77" i="13"/>
  <c r="N78" i="13"/>
  <c r="N79" i="13"/>
  <c r="N80" i="13"/>
  <c r="N81" i="13"/>
  <c r="N82" i="13"/>
  <c r="N83" i="13"/>
  <c r="N84" i="13"/>
  <c r="N85" i="13"/>
  <c r="B92" i="13"/>
  <c r="N93" i="13" s="1"/>
  <c r="N94" i="13"/>
  <c r="N96" i="13"/>
  <c r="N97" i="13"/>
  <c r="N98" i="13"/>
  <c r="N99" i="13"/>
  <c r="N100" i="13"/>
  <c r="N101" i="13"/>
  <c r="N102" i="13"/>
  <c r="N103" i="13"/>
  <c r="N104" i="13"/>
  <c r="N105" i="13"/>
  <c r="N106" i="13"/>
  <c r="M9" i="13"/>
  <c r="M10" i="13"/>
  <c r="M12" i="13"/>
  <c r="M13" i="13"/>
  <c r="M14" i="13"/>
  <c r="M15" i="13"/>
  <c r="M16" i="13"/>
  <c r="M17" i="13"/>
  <c r="M18" i="13"/>
  <c r="M19" i="13"/>
  <c r="M20" i="13"/>
  <c r="M21" i="13"/>
  <c r="M30" i="13"/>
  <c r="M31" i="13"/>
  <c r="M33" i="13"/>
  <c r="M34" i="13"/>
  <c r="M35" i="13"/>
  <c r="M36" i="13"/>
  <c r="M37" i="13"/>
  <c r="M38" i="13"/>
  <c r="M39" i="13"/>
  <c r="M40" i="13"/>
  <c r="M41" i="13"/>
  <c r="M42" i="13"/>
  <c r="M52" i="13"/>
  <c r="M54" i="13"/>
  <c r="M55" i="13"/>
  <c r="M56" i="13"/>
  <c r="M57" i="13"/>
  <c r="M58" i="13"/>
  <c r="M59" i="13"/>
  <c r="M60" i="13"/>
  <c r="M61" i="13"/>
  <c r="M62" i="13"/>
  <c r="M63" i="13"/>
  <c r="M73" i="13"/>
  <c r="M75" i="13"/>
  <c r="M76" i="13"/>
  <c r="M77" i="13"/>
  <c r="M78" i="13"/>
  <c r="M79" i="13"/>
  <c r="M80" i="13"/>
  <c r="M81" i="13"/>
  <c r="M82" i="13"/>
  <c r="M83" i="13"/>
  <c r="M84" i="13"/>
  <c r="M94" i="13"/>
  <c r="M96" i="13"/>
  <c r="M97" i="13"/>
  <c r="M98" i="13"/>
  <c r="M99" i="13"/>
  <c r="M100" i="13"/>
  <c r="M101" i="13"/>
  <c r="M102" i="13"/>
  <c r="M103" i="13"/>
  <c r="M104" i="13"/>
  <c r="M105" i="13"/>
  <c r="L10" i="13"/>
  <c r="L12" i="13"/>
  <c r="L13" i="13"/>
  <c r="L14" i="13"/>
  <c r="L15" i="13"/>
  <c r="L16" i="13"/>
  <c r="L17" i="13"/>
  <c r="L18" i="13"/>
  <c r="L19" i="13"/>
  <c r="L20" i="13"/>
  <c r="L31" i="13"/>
  <c r="L33" i="13"/>
  <c r="L34" i="13"/>
  <c r="L35" i="13"/>
  <c r="L36" i="13"/>
  <c r="L37" i="13"/>
  <c r="L38" i="13"/>
  <c r="L39" i="13"/>
  <c r="L40" i="13"/>
  <c r="L41" i="13"/>
  <c r="L52" i="13"/>
  <c r="L54" i="13"/>
  <c r="L55" i="13"/>
  <c r="L56" i="13"/>
  <c r="L57" i="13"/>
  <c r="L58" i="13"/>
  <c r="L59" i="13"/>
  <c r="L60" i="13"/>
  <c r="L61" i="13"/>
  <c r="L62" i="13"/>
  <c r="L73" i="13"/>
  <c r="L75" i="13"/>
  <c r="L76" i="13"/>
  <c r="L77" i="13"/>
  <c r="L78" i="13"/>
  <c r="L79" i="13"/>
  <c r="L80" i="13"/>
  <c r="L81" i="13"/>
  <c r="L82" i="13"/>
  <c r="L83" i="13"/>
  <c r="L94" i="13"/>
  <c r="L96" i="13"/>
  <c r="L97" i="13"/>
  <c r="L98" i="13"/>
  <c r="L99" i="13"/>
  <c r="L100" i="13"/>
  <c r="L101" i="13"/>
  <c r="L102" i="13"/>
  <c r="L103" i="13"/>
  <c r="L104" i="13"/>
  <c r="K10" i="13"/>
  <c r="K12" i="13"/>
  <c r="K13" i="13"/>
  <c r="K14" i="13"/>
  <c r="K15" i="13"/>
  <c r="K16" i="13"/>
  <c r="K17" i="13"/>
  <c r="K18" i="13"/>
  <c r="K19" i="13"/>
  <c r="K31" i="13"/>
  <c r="K33" i="13"/>
  <c r="K34" i="13"/>
  <c r="K35" i="13"/>
  <c r="K36" i="13"/>
  <c r="K37" i="13"/>
  <c r="K38" i="13"/>
  <c r="K39" i="13"/>
  <c r="K40" i="13"/>
  <c r="K52" i="13"/>
  <c r="K54" i="13"/>
  <c r="K55" i="13"/>
  <c r="K56" i="13"/>
  <c r="K57" i="13"/>
  <c r="K58" i="13"/>
  <c r="K59" i="13"/>
  <c r="K60" i="13"/>
  <c r="K61" i="13"/>
  <c r="K73" i="13"/>
  <c r="K75" i="13"/>
  <c r="K76" i="13"/>
  <c r="K77" i="13"/>
  <c r="K78" i="13"/>
  <c r="K79" i="13"/>
  <c r="K80" i="13"/>
  <c r="K81" i="13"/>
  <c r="K82" i="13"/>
  <c r="K94" i="13"/>
  <c r="K96" i="13"/>
  <c r="K97" i="13"/>
  <c r="K98" i="13"/>
  <c r="K99" i="13"/>
  <c r="K100" i="13"/>
  <c r="K101" i="13"/>
  <c r="K102" i="13"/>
  <c r="K103" i="13"/>
  <c r="J10" i="13"/>
  <c r="J12" i="13"/>
  <c r="J13" i="13"/>
  <c r="J14" i="13"/>
  <c r="J15" i="13"/>
  <c r="J16" i="13"/>
  <c r="J17" i="13"/>
  <c r="J18" i="13"/>
  <c r="J31" i="13"/>
  <c r="J33" i="13"/>
  <c r="J34" i="13"/>
  <c r="J35" i="13"/>
  <c r="J36" i="13"/>
  <c r="J37" i="13"/>
  <c r="J38" i="13"/>
  <c r="J39" i="13"/>
  <c r="J52" i="13"/>
  <c r="J54" i="13"/>
  <c r="J55" i="13"/>
  <c r="J56" i="13"/>
  <c r="J57" i="13"/>
  <c r="J58" i="13"/>
  <c r="J59" i="13"/>
  <c r="J60" i="13"/>
  <c r="J73" i="13"/>
  <c r="J75" i="13"/>
  <c r="J76" i="13"/>
  <c r="J77" i="13"/>
  <c r="J78" i="13"/>
  <c r="J79" i="13"/>
  <c r="J80" i="13"/>
  <c r="J81" i="13"/>
  <c r="J94" i="13"/>
  <c r="J96" i="13"/>
  <c r="J97" i="13"/>
  <c r="J98" i="13"/>
  <c r="J99" i="13"/>
  <c r="J100" i="13"/>
  <c r="J101" i="13"/>
  <c r="J102" i="13"/>
  <c r="I9" i="13"/>
  <c r="I10" i="13"/>
  <c r="I12" i="13"/>
  <c r="I13" i="13"/>
  <c r="I14" i="13"/>
  <c r="I15" i="13"/>
  <c r="I16" i="13"/>
  <c r="I17" i="13"/>
  <c r="I31" i="13"/>
  <c r="I33" i="13"/>
  <c r="I34" i="13"/>
  <c r="I35" i="13"/>
  <c r="I36" i="13"/>
  <c r="I37" i="13"/>
  <c r="I38" i="13"/>
  <c r="I52" i="13"/>
  <c r="I54" i="13"/>
  <c r="I55" i="13"/>
  <c r="I56" i="13"/>
  <c r="I57" i="13"/>
  <c r="I58" i="13"/>
  <c r="I59" i="13"/>
  <c r="I73" i="13"/>
  <c r="I75" i="13"/>
  <c r="I76" i="13"/>
  <c r="I77" i="13"/>
  <c r="I78" i="13"/>
  <c r="I79" i="13"/>
  <c r="I80" i="13"/>
  <c r="I94" i="13"/>
  <c r="I96" i="13"/>
  <c r="I97" i="13"/>
  <c r="I98" i="13"/>
  <c r="I99" i="13"/>
  <c r="I100" i="13"/>
  <c r="I101" i="13"/>
  <c r="H10" i="13"/>
  <c r="H12" i="13"/>
  <c r="H13" i="13"/>
  <c r="H14" i="13"/>
  <c r="H15" i="13"/>
  <c r="H16" i="13"/>
  <c r="H31" i="13"/>
  <c r="H33" i="13"/>
  <c r="H34" i="13"/>
  <c r="H35" i="13"/>
  <c r="H36" i="13"/>
  <c r="H37" i="13"/>
  <c r="H52" i="13"/>
  <c r="H54" i="13"/>
  <c r="H55" i="13"/>
  <c r="H56" i="13"/>
  <c r="H57" i="13"/>
  <c r="H58" i="13"/>
  <c r="H73" i="13"/>
  <c r="H75" i="13"/>
  <c r="H76" i="13"/>
  <c r="H77" i="13"/>
  <c r="H78" i="13"/>
  <c r="H79" i="13"/>
  <c r="H94" i="13"/>
  <c r="H96" i="13"/>
  <c r="H97" i="13"/>
  <c r="H98" i="13"/>
  <c r="H99" i="13"/>
  <c r="H100" i="13"/>
  <c r="G9" i="13"/>
  <c r="G10" i="13"/>
  <c r="G12" i="13"/>
  <c r="G13" i="13"/>
  <c r="G14" i="13"/>
  <c r="G15" i="13"/>
  <c r="G31" i="13"/>
  <c r="G33" i="13"/>
  <c r="G34" i="13"/>
  <c r="G35" i="13"/>
  <c r="G36" i="13"/>
  <c r="G52" i="13"/>
  <c r="G54" i="13"/>
  <c r="G55" i="13"/>
  <c r="G56" i="13"/>
  <c r="G57" i="13"/>
  <c r="G73" i="13"/>
  <c r="G75" i="13"/>
  <c r="G76" i="13"/>
  <c r="G77" i="13"/>
  <c r="G78" i="13"/>
  <c r="G94" i="13"/>
  <c r="G96" i="13"/>
  <c r="G97" i="13"/>
  <c r="G98" i="13"/>
  <c r="G99" i="13"/>
  <c r="F9" i="13"/>
  <c r="F10" i="13"/>
  <c r="F12" i="13"/>
  <c r="F13" i="13"/>
  <c r="F14" i="13"/>
  <c r="F31" i="13"/>
  <c r="F33" i="13"/>
  <c r="F34" i="13"/>
  <c r="F35" i="13"/>
  <c r="F52" i="13"/>
  <c r="F54" i="13"/>
  <c r="F55" i="13"/>
  <c r="F56" i="13"/>
  <c r="F73" i="13"/>
  <c r="F75" i="13"/>
  <c r="F76" i="13"/>
  <c r="F77" i="13"/>
  <c r="F94" i="13"/>
  <c r="F96" i="13"/>
  <c r="F97" i="13"/>
  <c r="F98" i="13"/>
  <c r="E10" i="13"/>
  <c r="E12" i="13"/>
  <c r="E13" i="13"/>
  <c r="E31" i="13"/>
  <c r="E33" i="13"/>
  <c r="E34" i="13"/>
  <c r="E52" i="13"/>
  <c r="E54" i="13"/>
  <c r="E55" i="13"/>
  <c r="E73" i="13"/>
  <c r="E75" i="13"/>
  <c r="E76" i="13"/>
  <c r="E94" i="13"/>
  <c r="E96" i="13"/>
  <c r="E97" i="13"/>
  <c r="D10" i="13"/>
  <c r="D12" i="13"/>
  <c r="D11" i="13" s="1"/>
  <c r="D31" i="13"/>
  <c r="D33" i="13"/>
  <c r="D32" i="13" s="1"/>
  <c r="D52" i="13"/>
  <c r="D54" i="13"/>
  <c r="D53" i="13" s="1"/>
  <c r="D73" i="13"/>
  <c r="D75" i="13"/>
  <c r="D74" i="13" s="1"/>
  <c r="D94" i="13"/>
  <c r="D96" i="13"/>
  <c r="D95" i="13" s="1"/>
  <c r="C9" i="13"/>
  <c r="C10" i="13"/>
  <c r="C31" i="13"/>
  <c r="C52" i="13"/>
  <c r="C73" i="13"/>
  <c r="C94" i="13"/>
  <c r="B8" i="12"/>
  <c r="N9" i="12" s="1"/>
  <c r="N10" i="12"/>
  <c r="N12" i="12"/>
  <c r="N13" i="12"/>
  <c r="N14" i="12"/>
  <c r="N15" i="12"/>
  <c r="N16" i="12"/>
  <c r="N17" i="12"/>
  <c r="N18" i="12"/>
  <c r="N19" i="12"/>
  <c r="N20" i="12"/>
  <c r="N21" i="12"/>
  <c r="N22" i="12"/>
  <c r="B29" i="12"/>
  <c r="N30" i="12" s="1"/>
  <c r="N31" i="12"/>
  <c r="N33" i="12"/>
  <c r="N34" i="12"/>
  <c r="N35" i="12"/>
  <c r="N36" i="12"/>
  <c r="N37" i="12"/>
  <c r="N38" i="12"/>
  <c r="N39" i="12"/>
  <c r="N40" i="12"/>
  <c r="N41" i="12"/>
  <c r="N42" i="12"/>
  <c r="N43" i="12"/>
  <c r="B50" i="12"/>
  <c r="N51" i="12" s="1"/>
  <c r="N52" i="12"/>
  <c r="N54" i="12"/>
  <c r="N55" i="12"/>
  <c r="N56" i="12"/>
  <c r="N57" i="12"/>
  <c r="N58" i="12"/>
  <c r="N59" i="12"/>
  <c r="N60" i="12"/>
  <c r="N61" i="12"/>
  <c r="N62" i="12"/>
  <c r="N63" i="12"/>
  <c r="N64" i="12"/>
  <c r="B71" i="12"/>
  <c r="N72" i="12" s="1"/>
  <c r="N73" i="12"/>
  <c r="N75" i="12"/>
  <c r="N76" i="12"/>
  <c r="N77" i="12"/>
  <c r="N78" i="12"/>
  <c r="N79" i="12"/>
  <c r="N80" i="12"/>
  <c r="N81" i="12"/>
  <c r="N82" i="12"/>
  <c r="N83" i="12"/>
  <c r="N84" i="12"/>
  <c r="N85" i="12"/>
  <c r="B92" i="12"/>
  <c r="N93" i="12" s="1"/>
  <c r="N94" i="12"/>
  <c r="N96" i="12"/>
  <c r="N97" i="12"/>
  <c r="N98" i="12"/>
  <c r="N99" i="12"/>
  <c r="N100" i="12"/>
  <c r="N101" i="12"/>
  <c r="N102" i="12"/>
  <c r="N103" i="12"/>
  <c r="N104" i="12"/>
  <c r="N105" i="12"/>
  <c r="N106" i="12"/>
  <c r="M10" i="12"/>
  <c r="M12" i="12"/>
  <c r="M13" i="12"/>
  <c r="M14" i="12"/>
  <c r="M15" i="12"/>
  <c r="M16" i="12"/>
  <c r="M17" i="12"/>
  <c r="M18" i="12"/>
  <c r="M19" i="12"/>
  <c r="M20" i="12"/>
  <c r="M21" i="12"/>
  <c r="M31" i="12"/>
  <c r="M33" i="12"/>
  <c r="M34" i="12"/>
  <c r="M35" i="12"/>
  <c r="M36" i="12"/>
  <c r="M37" i="12"/>
  <c r="M38" i="12"/>
  <c r="M39" i="12"/>
  <c r="M40" i="12"/>
  <c r="M41" i="12"/>
  <c r="M42" i="12"/>
  <c r="M52" i="12"/>
  <c r="M54" i="12"/>
  <c r="M55" i="12"/>
  <c r="M56" i="12"/>
  <c r="M57" i="12"/>
  <c r="M58" i="12"/>
  <c r="M59" i="12"/>
  <c r="M60" i="12"/>
  <c r="M61" i="12"/>
  <c r="M62" i="12"/>
  <c r="M63" i="12"/>
  <c r="M73" i="12"/>
  <c r="M75" i="12"/>
  <c r="M76" i="12"/>
  <c r="M77" i="12"/>
  <c r="M78" i="12"/>
  <c r="M79" i="12"/>
  <c r="M80" i="12"/>
  <c r="M81" i="12"/>
  <c r="M82" i="12"/>
  <c r="M83" i="12"/>
  <c r="M84" i="12"/>
  <c r="M94" i="12"/>
  <c r="M96" i="12"/>
  <c r="M97" i="12"/>
  <c r="M98" i="12"/>
  <c r="M99" i="12"/>
  <c r="M100" i="12"/>
  <c r="M101" i="12"/>
  <c r="M102" i="12"/>
  <c r="M103" i="12"/>
  <c r="M104" i="12"/>
  <c r="M105" i="12"/>
  <c r="L10" i="12"/>
  <c r="L12" i="12"/>
  <c r="L13" i="12"/>
  <c r="L14" i="12"/>
  <c r="L15" i="12"/>
  <c r="L16" i="12"/>
  <c r="L17" i="12"/>
  <c r="L18" i="12"/>
  <c r="L19" i="12"/>
  <c r="L20" i="12"/>
  <c r="L31" i="12"/>
  <c r="L33" i="12"/>
  <c r="L34" i="12"/>
  <c r="L35" i="12"/>
  <c r="L36" i="12"/>
  <c r="L37" i="12"/>
  <c r="L38" i="12"/>
  <c r="L39" i="12"/>
  <c r="L40" i="12"/>
  <c r="L41" i="12"/>
  <c r="L52" i="12"/>
  <c r="L54" i="12"/>
  <c r="L55" i="12"/>
  <c r="L56" i="12"/>
  <c r="L57" i="12"/>
  <c r="L58" i="12"/>
  <c r="L59" i="12"/>
  <c r="L60" i="12"/>
  <c r="L61" i="12"/>
  <c r="L62" i="12"/>
  <c r="L73" i="12"/>
  <c r="L75" i="12"/>
  <c r="L76" i="12"/>
  <c r="L77" i="12"/>
  <c r="L78" i="12"/>
  <c r="L79" i="12"/>
  <c r="L80" i="12"/>
  <c r="L81" i="12"/>
  <c r="L82" i="12"/>
  <c r="L83" i="12"/>
  <c r="L93" i="12"/>
  <c r="L94" i="12"/>
  <c r="L96" i="12"/>
  <c r="L97" i="12"/>
  <c r="L98" i="12"/>
  <c r="L99" i="12"/>
  <c r="L100" i="12"/>
  <c r="L101" i="12"/>
  <c r="L102" i="12"/>
  <c r="L103" i="12"/>
  <c r="L104" i="12"/>
  <c r="K10" i="12"/>
  <c r="K12" i="12"/>
  <c r="K13" i="12"/>
  <c r="K14" i="12"/>
  <c r="K15" i="12"/>
  <c r="K16" i="12"/>
  <c r="K17" i="12"/>
  <c r="K18" i="12"/>
  <c r="K19" i="12"/>
  <c r="K31" i="12"/>
  <c r="K33" i="12"/>
  <c r="K34" i="12"/>
  <c r="K35" i="12"/>
  <c r="K36" i="12"/>
  <c r="K37" i="12"/>
  <c r="K38" i="12"/>
  <c r="K39" i="12"/>
  <c r="K40" i="12"/>
  <c r="K52" i="12"/>
  <c r="K54" i="12"/>
  <c r="K55" i="12"/>
  <c r="K56" i="12"/>
  <c r="K57" i="12"/>
  <c r="K58" i="12"/>
  <c r="K59" i="12"/>
  <c r="K60" i="12"/>
  <c r="K61" i="12"/>
  <c r="K73" i="12"/>
  <c r="K75" i="12"/>
  <c r="K76" i="12"/>
  <c r="K77" i="12"/>
  <c r="K78" i="12"/>
  <c r="K79" i="12"/>
  <c r="K80" i="12"/>
  <c r="K81" i="12"/>
  <c r="K82" i="12"/>
  <c r="K94" i="12"/>
  <c r="K96" i="12"/>
  <c r="K97" i="12"/>
  <c r="K98" i="12"/>
  <c r="K99" i="12"/>
  <c r="K100" i="12"/>
  <c r="K101" i="12"/>
  <c r="K102" i="12"/>
  <c r="K103" i="12"/>
  <c r="J10" i="12"/>
  <c r="J12" i="12"/>
  <c r="J13" i="12"/>
  <c r="J14" i="12"/>
  <c r="J15" i="12"/>
  <c r="J16" i="12"/>
  <c r="J17" i="12"/>
  <c r="J18" i="12"/>
  <c r="J31" i="12"/>
  <c r="J33" i="12"/>
  <c r="J34" i="12"/>
  <c r="J35" i="12"/>
  <c r="J36" i="12"/>
  <c r="J37" i="12"/>
  <c r="J38" i="12"/>
  <c r="J39" i="12"/>
  <c r="J52" i="12"/>
  <c r="J54" i="12"/>
  <c r="J55" i="12"/>
  <c r="J56" i="12"/>
  <c r="J57" i="12"/>
  <c r="J58" i="12"/>
  <c r="J59" i="12"/>
  <c r="J60" i="12"/>
  <c r="J72" i="12"/>
  <c r="J73" i="12"/>
  <c r="J75" i="12"/>
  <c r="J76" i="12"/>
  <c r="J77" i="12"/>
  <c r="J78" i="12"/>
  <c r="J79" i="12"/>
  <c r="J80" i="12"/>
  <c r="J81" i="12"/>
  <c r="J93" i="12"/>
  <c r="J94" i="12"/>
  <c r="J96" i="12"/>
  <c r="J97" i="12"/>
  <c r="J98" i="12"/>
  <c r="J99" i="12"/>
  <c r="J100" i="12"/>
  <c r="J101" i="12"/>
  <c r="J102" i="12"/>
  <c r="I10" i="12"/>
  <c r="I12" i="12"/>
  <c r="I13" i="12"/>
  <c r="I14" i="12"/>
  <c r="I15" i="12"/>
  <c r="I16" i="12"/>
  <c r="I17" i="12"/>
  <c r="I31" i="12"/>
  <c r="I33" i="12"/>
  <c r="I34" i="12"/>
  <c r="I35" i="12"/>
  <c r="I36" i="12"/>
  <c r="I37" i="12"/>
  <c r="I38" i="12"/>
  <c r="I52" i="12"/>
  <c r="I54" i="12"/>
  <c r="I55" i="12"/>
  <c r="I56" i="12"/>
  <c r="I57" i="12"/>
  <c r="I58" i="12"/>
  <c r="I59" i="12"/>
  <c r="I73" i="12"/>
  <c r="I75" i="12"/>
  <c r="I76" i="12"/>
  <c r="I77" i="12"/>
  <c r="I78" i="12"/>
  <c r="I79" i="12"/>
  <c r="I80" i="12"/>
  <c r="I94" i="12"/>
  <c r="I96" i="12"/>
  <c r="I97" i="12"/>
  <c r="I98" i="12"/>
  <c r="I99" i="12"/>
  <c r="I100" i="12"/>
  <c r="I101" i="12"/>
  <c r="H10" i="12"/>
  <c r="H12" i="12"/>
  <c r="H13" i="12"/>
  <c r="H14" i="12"/>
  <c r="H15" i="12"/>
  <c r="H16" i="12"/>
  <c r="H31" i="12"/>
  <c r="H33" i="12"/>
  <c r="H34" i="12"/>
  <c r="H35" i="12"/>
  <c r="H36" i="12"/>
  <c r="H37" i="12"/>
  <c r="H52" i="12"/>
  <c r="H54" i="12"/>
  <c r="H55" i="12"/>
  <c r="H56" i="12"/>
  <c r="H57" i="12"/>
  <c r="H58" i="12"/>
  <c r="H73" i="12"/>
  <c r="H75" i="12"/>
  <c r="H76" i="12"/>
  <c r="H77" i="12"/>
  <c r="H78" i="12"/>
  <c r="H79" i="12"/>
  <c r="H94" i="12"/>
  <c r="H96" i="12"/>
  <c r="H97" i="12"/>
  <c r="H98" i="12"/>
  <c r="H99" i="12"/>
  <c r="H100" i="12"/>
  <c r="G10" i="12"/>
  <c r="G12" i="12"/>
  <c r="G13" i="12"/>
  <c r="G14" i="12"/>
  <c r="G15" i="12"/>
  <c r="G31" i="12"/>
  <c r="G33" i="12"/>
  <c r="G34" i="12"/>
  <c r="G35" i="12"/>
  <c r="G36" i="12"/>
  <c r="G52" i="12"/>
  <c r="G54" i="12"/>
  <c r="G55" i="12"/>
  <c r="G56" i="12"/>
  <c r="G57" i="12"/>
  <c r="G73" i="12"/>
  <c r="G75" i="12"/>
  <c r="G76" i="12"/>
  <c r="G77" i="12"/>
  <c r="G78" i="12"/>
  <c r="G94" i="12"/>
  <c r="G96" i="12"/>
  <c r="G97" i="12"/>
  <c r="G98" i="12"/>
  <c r="G99" i="12"/>
  <c r="F10" i="12"/>
  <c r="F12" i="12"/>
  <c r="F13" i="12"/>
  <c r="F14" i="12"/>
  <c r="F31" i="12"/>
  <c r="F33" i="12"/>
  <c r="F34" i="12"/>
  <c r="F35" i="12"/>
  <c r="F52" i="12"/>
  <c r="F54" i="12"/>
  <c r="F55" i="12"/>
  <c r="F56" i="12"/>
  <c r="F72" i="12"/>
  <c r="F73" i="12"/>
  <c r="F75" i="12"/>
  <c r="F76" i="12"/>
  <c r="F77" i="12"/>
  <c r="F94" i="12"/>
  <c r="F96" i="12"/>
  <c r="F97" i="12"/>
  <c r="F98" i="12"/>
  <c r="E10" i="12"/>
  <c r="E12" i="12"/>
  <c r="E13" i="12"/>
  <c r="E31" i="12"/>
  <c r="E33" i="12"/>
  <c r="E34" i="12"/>
  <c r="E52" i="12"/>
  <c r="E54" i="12"/>
  <c r="E55" i="12"/>
  <c r="E73" i="12"/>
  <c r="E75" i="12"/>
  <c r="E76" i="12"/>
  <c r="E94" i="12"/>
  <c r="E96" i="12"/>
  <c r="E97" i="12"/>
  <c r="D10" i="12"/>
  <c r="D12" i="12"/>
  <c r="D11" i="12" s="1"/>
  <c r="D31" i="12"/>
  <c r="D33" i="12"/>
  <c r="D32" i="12" s="1"/>
  <c r="D52" i="12"/>
  <c r="D54" i="12"/>
  <c r="D53" i="12" s="1"/>
  <c r="D72" i="12"/>
  <c r="D73" i="12"/>
  <c r="D75" i="12"/>
  <c r="D74" i="12" s="1"/>
  <c r="D94" i="12"/>
  <c r="D96" i="12"/>
  <c r="D95" i="12" s="1"/>
  <c r="C10" i="12"/>
  <c r="C31" i="12"/>
  <c r="C51" i="12"/>
  <c r="C52" i="12"/>
  <c r="C73" i="12"/>
  <c r="C94" i="12"/>
  <c r="N30" i="3"/>
  <c r="N31" i="3"/>
  <c r="N32" i="3"/>
  <c r="N35" i="3"/>
  <c r="N36" i="3"/>
  <c r="N37" i="3"/>
  <c r="N39" i="3"/>
  <c r="N40" i="3"/>
  <c r="B26" i="3"/>
  <c r="N27" i="3" s="1"/>
  <c r="N6" i="3"/>
  <c r="N18" i="3"/>
  <c r="N19" i="3"/>
  <c r="B47" i="3"/>
  <c r="K48" i="3" s="1"/>
  <c r="N49" i="3"/>
  <c r="N51" i="3"/>
  <c r="N52" i="3"/>
  <c r="N53" i="3"/>
  <c r="N54" i="3"/>
  <c r="N55" i="3"/>
  <c r="N56" i="3"/>
  <c r="N57" i="3"/>
  <c r="N58" i="3"/>
  <c r="N59" i="3"/>
  <c r="N60" i="3"/>
  <c r="N61" i="3"/>
  <c r="B68" i="3"/>
  <c r="M69" i="3" s="1"/>
  <c r="N70" i="3"/>
  <c r="N72" i="3"/>
  <c r="N73" i="3"/>
  <c r="N74" i="3"/>
  <c r="N75" i="3"/>
  <c r="N76" i="3"/>
  <c r="N77" i="3"/>
  <c r="N78" i="3"/>
  <c r="N79" i="3"/>
  <c r="N80" i="3"/>
  <c r="N81" i="3"/>
  <c r="N82" i="3"/>
  <c r="B89" i="3"/>
  <c r="N90" i="3" s="1"/>
  <c r="N91" i="3"/>
  <c r="N93" i="3"/>
  <c r="N94" i="3"/>
  <c r="N95" i="3"/>
  <c r="N96" i="3"/>
  <c r="N97" i="3"/>
  <c r="N98" i="3"/>
  <c r="N99" i="3"/>
  <c r="N100" i="3"/>
  <c r="N101" i="3"/>
  <c r="N102" i="3"/>
  <c r="N103" i="3"/>
  <c r="N255" i="3"/>
  <c r="N281" i="3"/>
  <c r="N284" i="3"/>
  <c r="N286" i="3"/>
  <c r="N138" i="3"/>
  <c r="M30" i="3"/>
  <c r="M31" i="3"/>
  <c r="M32" i="3"/>
  <c r="M35" i="3"/>
  <c r="M36" i="3"/>
  <c r="M37" i="3"/>
  <c r="M38" i="3"/>
  <c r="M39" i="3"/>
  <c r="M17" i="3"/>
  <c r="M18" i="3"/>
  <c r="M49" i="3"/>
  <c r="M51" i="3"/>
  <c r="M52" i="3"/>
  <c r="M53" i="3"/>
  <c r="M54" i="3"/>
  <c r="M55" i="3"/>
  <c r="M56" i="3"/>
  <c r="M57" i="3"/>
  <c r="M58" i="3"/>
  <c r="M59" i="3"/>
  <c r="M60" i="3"/>
  <c r="M70" i="3"/>
  <c r="M72" i="3"/>
  <c r="M73" i="3"/>
  <c r="M74" i="3"/>
  <c r="M75" i="3"/>
  <c r="M76" i="3"/>
  <c r="M77" i="3"/>
  <c r="M78" i="3"/>
  <c r="M79" i="3"/>
  <c r="M80" i="3"/>
  <c r="M81" i="3"/>
  <c r="M91" i="3"/>
  <c r="M93" i="3"/>
  <c r="M94" i="3"/>
  <c r="M95" i="3"/>
  <c r="M96" i="3"/>
  <c r="M97" i="3"/>
  <c r="M98" i="3"/>
  <c r="M99" i="3"/>
  <c r="M100" i="3"/>
  <c r="M101" i="3"/>
  <c r="M102" i="3"/>
  <c r="M255" i="3"/>
  <c r="M281" i="3"/>
  <c r="M284" i="3"/>
  <c r="M286" i="3"/>
  <c r="M138" i="3"/>
  <c r="L28" i="3"/>
  <c r="L30" i="3"/>
  <c r="L31" i="3"/>
  <c r="L35" i="3"/>
  <c r="L36" i="3"/>
  <c r="L37" i="3"/>
  <c r="L38" i="3"/>
  <c r="L16" i="3"/>
  <c r="L17" i="3"/>
  <c r="L49" i="3"/>
  <c r="L51" i="3"/>
  <c r="L52" i="3"/>
  <c r="L53" i="3"/>
  <c r="L54" i="3"/>
  <c r="L55" i="3"/>
  <c r="L56" i="3"/>
  <c r="L57" i="3"/>
  <c r="L58" i="3"/>
  <c r="L59" i="3"/>
  <c r="L70" i="3"/>
  <c r="L72" i="3"/>
  <c r="L73" i="3"/>
  <c r="L74" i="3"/>
  <c r="L75" i="3"/>
  <c r="L76" i="3"/>
  <c r="L77" i="3"/>
  <c r="L78" i="3"/>
  <c r="L79" i="3"/>
  <c r="L80" i="3"/>
  <c r="L91" i="3"/>
  <c r="L93" i="3"/>
  <c r="L94" i="3"/>
  <c r="L95" i="3"/>
  <c r="L96" i="3"/>
  <c r="L97" i="3"/>
  <c r="L98" i="3"/>
  <c r="L99" i="3"/>
  <c r="L100" i="3"/>
  <c r="L101" i="3"/>
  <c r="L255" i="3"/>
  <c r="L281" i="3"/>
  <c r="L284" i="3"/>
  <c r="L286" i="3"/>
  <c r="L138" i="3"/>
  <c r="K28" i="3"/>
  <c r="K30" i="3"/>
  <c r="K31" i="3"/>
  <c r="K35" i="3"/>
  <c r="K36" i="3"/>
  <c r="K37" i="3"/>
  <c r="K15" i="3"/>
  <c r="K16" i="3"/>
  <c r="K49" i="3"/>
  <c r="K51" i="3"/>
  <c r="K52" i="3"/>
  <c r="K53" i="3"/>
  <c r="K54" i="3"/>
  <c r="K55" i="3"/>
  <c r="K56" i="3"/>
  <c r="K57" i="3"/>
  <c r="K58" i="3"/>
  <c r="K70" i="3"/>
  <c r="K72" i="3"/>
  <c r="K73" i="3"/>
  <c r="K74" i="3"/>
  <c r="K75" i="3"/>
  <c r="K76" i="3"/>
  <c r="K77" i="3"/>
  <c r="K78" i="3"/>
  <c r="K79" i="3"/>
  <c r="K91" i="3"/>
  <c r="K93" i="3"/>
  <c r="K94" i="3"/>
  <c r="K95" i="3"/>
  <c r="K96" i="3"/>
  <c r="K97" i="3"/>
  <c r="K98" i="3"/>
  <c r="K99" i="3"/>
  <c r="K100" i="3"/>
  <c r="K255" i="3"/>
  <c r="K281" i="3"/>
  <c r="K284" i="3"/>
  <c r="K286" i="3"/>
  <c r="K138" i="3"/>
  <c r="J28" i="3"/>
  <c r="J31" i="3"/>
  <c r="J35" i="3"/>
  <c r="J36" i="3"/>
  <c r="J14" i="3"/>
  <c r="J15" i="3"/>
  <c r="J49" i="3"/>
  <c r="J51" i="3"/>
  <c r="J52" i="3"/>
  <c r="J53" i="3"/>
  <c r="J54" i="3"/>
  <c r="J55" i="3"/>
  <c r="J56" i="3"/>
  <c r="J57" i="3"/>
  <c r="J70" i="3"/>
  <c r="J72" i="3"/>
  <c r="J73" i="3"/>
  <c r="J74" i="3"/>
  <c r="J75" i="3"/>
  <c r="J76" i="3"/>
  <c r="J77" i="3"/>
  <c r="J78" i="3"/>
  <c r="J91" i="3"/>
  <c r="J93" i="3"/>
  <c r="J94" i="3"/>
  <c r="J95" i="3"/>
  <c r="J96" i="3"/>
  <c r="J97" i="3"/>
  <c r="J98" i="3"/>
  <c r="J99" i="3"/>
  <c r="J255" i="3"/>
  <c r="J281" i="3"/>
  <c r="J284" i="3"/>
  <c r="J286" i="3"/>
  <c r="I31" i="3"/>
  <c r="I32" i="3"/>
  <c r="I35" i="3"/>
  <c r="I13" i="3"/>
  <c r="I14" i="3"/>
  <c r="I49" i="3"/>
  <c r="I51" i="3"/>
  <c r="I52" i="3"/>
  <c r="I53" i="3"/>
  <c r="I54" i="3"/>
  <c r="I55" i="3"/>
  <c r="I56" i="3"/>
  <c r="I70" i="3"/>
  <c r="I72" i="3"/>
  <c r="I73" i="3"/>
  <c r="I74" i="3"/>
  <c r="I75" i="3"/>
  <c r="I76" i="3"/>
  <c r="I77" i="3"/>
  <c r="I91" i="3"/>
  <c r="I93" i="3"/>
  <c r="I94" i="3"/>
  <c r="I95" i="3"/>
  <c r="I96" i="3"/>
  <c r="I97" i="3"/>
  <c r="I98" i="3"/>
  <c r="I255" i="3"/>
  <c r="I281" i="3"/>
  <c r="I284" i="3"/>
  <c r="I286" i="3"/>
  <c r="H30" i="3"/>
  <c r="H31" i="3"/>
  <c r="H12" i="3"/>
  <c r="H13" i="3"/>
  <c r="H49" i="3"/>
  <c r="H51" i="3"/>
  <c r="H52" i="3"/>
  <c r="H53" i="3"/>
  <c r="H54" i="3"/>
  <c r="H55" i="3"/>
  <c r="H70" i="3"/>
  <c r="H72" i="3"/>
  <c r="H73" i="3"/>
  <c r="H74" i="3"/>
  <c r="H75" i="3"/>
  <c r="H76" i="3"/>
  <c r="H91" i="3"/>
  <c r="H93" i="3"/>
  <c r="H94" i="3"/>
  <c r="H95" i="3"/>
  <c r="H96" i="3"/>
  <c r="H97" i="3"/>
  <c r="H255" i="3"/>
  <c r="H281" i="3"/>
  <c r="H284" i="3"/>
  <c r="H286" i="3"/>
  <c r="G30" i="3"/>
  <c r="G31" i="3"/>
  <c r="G32" i="3"/>
  <c r="G11" i="3"/>
  <c r="G12" i="3"/>
  <c r="G49" i="3"/>
  <c r="G51" i="3"/>
  <c r="G52" i="3"/>
  <c r="G53" i="3"/>
  <c r="G54" i="3"/>
  <c r="G70" i="3"/>
  <c r="G72" i="3"/>
  <c r="G73" i="3"/>
  <c r="G74" i="3"/>
  <c r="G75" i="3"/>
  <c r="G91" i="3"/>
  <c r="G93" i="3"/>
  <c r="G94" i="3"/>
  <c r="G95" i="3"/>
  <c r="G96" i="3"/>
  <c r="G255" i="3"/>
  <c r="G281" i="3"/>
  <c r="G284" i="3"/>
  <c r="G286" i="3"/>
  <c r="G138" i="3"/>
  <c r="F31" i="3"/>
  <c r="F32" i="3"/>
  <c r="F10" i="3"/>
  <c r="F11" i="3"/>
  <c r="F49" i="3"/>
  <c r="F51" i="3"/>
  <c r="F52" i="3"/>
  <c r="F53" i="3"/>
  <c r="F70" i="3"/>
  <c r="F72" i="3"/>
  <c r="F73" i="3"/>
  <c r="F74" i="3"/>
  <c r="F91" i="3"/>
  <c r="F93" i="3"/>
  <c r="F94" i="3"/>
  <c r="F95" i="3"/>
  <c r="F255" i="3"/>
  <c r="F281" i="3"/>
  <c r="F284" i="3"/>
  <c r="F286" i="3"/>
  <c r="F138" i="3"/>
  <c r="E30" i="3"/>
  <c r="E31" i="3"/>
  <c r="E9" i="3"/>
  <c r="E10" i="3"/>
  <c r="E49" i="3"/>
  <c r="E51" i="3"/>
  <c r="E52" i="3"/>
  <c r="E70" i="3"/>
  <c r="E72" i="3"/>
  <c r="E73" i="3"/>
  <c r="E91" i="3"/>
  <c r="E93" i="3"/>
  <c r="E94" i="3"/>
  <c r="E255" i="3"/>
  <c r="E281" i="3"/>
  <c r="E284" i="3"/>
  <c r="E286" i="3"/>
  <c r="D30" i="3"/>
  <c r="D29" i="3" s="1"/>
  <c r="D7" i="3"/>
  <c r="D9" i="3"/>
  <c r="D8" i="3" s="1"/>
  <c r="D49" i="3"/>
  <c r="D51" i="3"/>
  <c r="D50" i="3" s="1"/>
  <c r="D70" i="3"/>
  <c r="D72" i="3"/>
  <c r="D71" i="3" s="1"/>
  <c r="D91" i="3"/>
  <c r="D93" i="3"/>
  <c r="D92" i="3" s="1"/>
  <c r="D255" i="3"/>
  <c r="D281" i="3"/>
  <c r="D284" i="3"/>
  <c r="D286" i="3"/>
  <c r="D138" i="3"/>
  <c r="C28" i="3"/>
  <c r="C7" i="3"/>
  <c r="C49" i="3"/>
  <c r="C70" i="3"/>
  <c r="C91" i="3"/>
  <c r="C255" i="3"/>
  <c r="C281" i="3"/>
  <c r="C284" i="3"/>
  <c r="C286" i="3"/>
  <c r="B133" i="3"/>
  <c r="O30" i="3"/>
  <c r="O31" i="3"/>
  <c r="O32" i="3"/>
  <c r="O35" i="3"/>
  <c r="O36" i="3"/>
  <c r="O37" i="3"/>
  <c r="O39" i="3"/>
  <c r="O40" i="3"/>
  <c r="O41" i="3"/>
  <c r="O49" i="3"/>
  <c r="O51" i="3"/>
  <c r="O52" i="3"/>
  <c r="O53" i="3"/>
  <c r="O54" i="3"/>
  <c r="O55" i="3"/>
  <c r="O56" i="3"/>
  <c r="O57" i="3"/>
  <c r="O58" i="3"/>
  <c r="O59" i="3"/>
  <c r="O60" i="3"/>
  <c r="O61" i="3"/>
  <c r="O62" i="3"/>
  <c r="O19" i="3"/>
  <c r="O20" i="3"/>
  <c r="O91" i="3"/>
  <c r="O93" i="3"/>
  <c r="O94" i="3"/>
  <c r="O95" i="3"/>
  <c r="O96" i="3"/>
  <c r="O97" i="3"/>
  <c r="O98" i="3"/>
  <c r="O99" i="3"/>
  <c r="O100" i="3"/>
  <c r="O101" i="3"/>
  <c r="O102" i="3"/>
  <c r="O103" i="3"/>
  <c r="O104" i="3"/>
  <c r="O70" i="3"/>
  <c r="O72" i="3"/>
  <c r="O73" i="3"/>
  <c r="O74" i="3"/>
  <c r="O75" i="3"/>
  <c r="O76" i="3"/>
  <c r="O77" i="3"/>
  <c r="O78" i="3"/>
  <c r="O79" i="3"/>
  <c r="O80" i="3"/>
  <c r="O81" i="3"/>
  <c r="O82" i="3"/>
  <c r="O83" i="3"/>
  <c r="P28" i="3"/>
  <c r="P30" i="3"/>
  <c r="P31" i="3"/>
  <c r="P32" i="3"/>
  <c r="P35" i="3"/>
  <c r="P36" i="3"/>
  <c r="P37" i="3"/>
  <c r="P39" i="3"/>
  <c r="P41" i="3"/>
  <c r="P49" i="3"/>
  <c r="P51" i="3"/>
  <c r="P52" i="3"/>
  <c r="P53" i="3"/>
  <c r="P54" i="3"/>
  <c r="P55" i="3"/>
  <c r="P56" i="3"/>
  <c r="P57" i="3"/>
  <c r="P58" i="3"/>
  <c r="P59" i="3"/>
  <c r="P60" i="3"/>
  <c r="P61" i="3"/>
  <c r="P62" i="3"/>
  <c r="P20" i="3"/>
  <c r="P91" i="3"/>
  <c r="P93" i="3"/>
  <c r="P94" i="3"/>
  <c r="P95" i="3"/>
  <c r="P96" i="3"/>
  <c r="P97" i="3"/>
  <c r="P98" i="3"/>
  <c r="P99" i="3"/>
  <c r="P100" i="3"/>
  <c r="P101" i="3"/>
  <c r="P102" i="3"/>
  <c r="P103" i="3"/>
  <c r="P104" i="3"/>
  <c r="P70" i="3"/>
  <c r="P72" i="3"/>
  <c r="P73" i="3"/>
  <c r="P74" i="3"/>
  <c r="P75" i="3"/>
  <c r="P76" i="3"/>
  <c r="P77" i="3"/>
  <c r="P78" i="3"/>
  <c r="P79" i="3"/>
  <c r="P80" i="3"/>
  <c r="P81" i="3"/>
  <c r="P82" i="3"/>
  <c r="P83" i="3"/>
  <c r="Q28" i="3"/>
  <c r="Q30" i="3"/>
  <c r="Q31" i="3"/>
  <c r="Q32" i="3"/>
  <c r="Q35" i="3"/>
  <c r="Q36" i="3"/>
  <c r="Q37" i="3"/>
  <c r="Q38" i="3"/>
  <c r="Q39" i="3"/>
  <c r="Q41" i="3"/>
  <c r="Q49" i="3"/>
  <c r="Q51" i="3"/>
  <c r="Q52" i="3"/>
  <c r="Q53" i="3"/>
  <c r="Q54" i="3"/>
  <c r="Q55" i="3"/>
  <c r="Q56" i="3"/>
  <c r="Q57" i="3"/>
  <c r="Q58" i="3"/>
  <c r="Q59" i="3"/>
  <c r="Q60" i="3"/>
  <c r="Q61" i="3"/>
  <c r="Q62" i="3"/>
  <c r="Q7" i="3"/>
  <c r="Q9" i="3"/>
  <c r="Q91" i="3"/>
  <c r="Q93" i="3"/>
  <c r="Q94" i="3"/>
  <c r="Q95" i="3"/>
  <c r="Q96" i="3"/>
  <c r="Q97" i="3"/>
  <c r="Q98" i="3"/>
  <c r="Q99" i="3"/>
  <c r="Q100" i="3"/>
  <c r="Q101" i="3"/>
  <c r="Q102" i="3"/>
  <c r="Q103" i="3"/>
  <c r="Q104" i="3"/>
  <c r="Q70" i="3"/>
  <c r="Q72" i="3"/>
  <c r="Q73" i="3"/>
  <c r="Q74" i="3"/>
  <c r="Q75" i="3"/>
  <c r="Q76" i="3"/>
  <c r="Q77" i="3"/>
  <c r="Q78" i="3"/>
  <c r="Q79" i="3"/>
  <c r="Q80" i="3"/>
  <c r="Q81" i="3"/>
  <c r="Q82" i="3"/>
  <c r="Q83" i="3"/>
  <c r="R28" i="3"/>
  <c r="R30" i="3"/>
  <c r="R31" i="3"/>
  <c r="R32" i="3"/>
  <c r="R35" i="3"/>
  <c r="R36" i="3"/>
  <c r="R37" i="3"/>
  <c r="R38" i="3"/>
  <c r="R39" i="3"/>
  <c r="R41" i="3"/>
  <c r="R49" i="3"/>
  <c r="R51" i="3"/>
  <c r="R52" i="3"/>
  <c r="R53" i="3"/>
  <c r="R54" i="3"/>
  <c r="R55" i="3"/>
  <c r="R56" i="3"/>
  <c r="R57" i="3"/>
  <c r="R58" i="3"/>
  <c r="R59" i="3"/>
  <c r="R60" i="3"/>
  <c r="R61" i="3"/>
  <c r="R62" i="3"/>
  <c r="R7" i="3"/>
  <c r="R9" i="3"/>
  <c r="R10" i="3"/>
  <c r="R91" i="3"/>
  <c r="R93" i="3"/>
  <c r="R94" i="3"/>
  <c r="R95" i="3"/>
  <c r="R96" i="3"/>
  <c r="R97" i="3"/>
  <c r="R98" i="3"/>
  <c r="R99" i="3"/>
  <c r="R100" i="3"/>
  <c r="R101" i="3"/>
  <c r="R102" i="3"/>
  <c r="R103" i="3"/>
  <c r="R104" i="3"/>
  <c r="R70" i="3"/>
  <c r="R72" i="3"/>
  <c r="R73" i="3"/>
  <c r="R74" i="3"/>
  <c r="R75" i="3"/>
  <c r="R76" i="3"/>
  <c r="R77" i="3"/>
  <c r="R78" i="3"/>
  <c r="R79" i="3"/>
  <c r="R80" i="3"/>
  <c r="R81" i="3"/>
  <c r="R82" i="3"/>
  <c r="R83" i="3"/>
  <c r="S28" i="3"/>
  <c r="S30" i="3"/>
  <c r="S31" i="3"/>
  <c r="S32" i="3"/>
  <c r="S35" i="3"/>
  <c r="S36" i="3"/>
  <c r="S37" i="3"/>
  <c r="S38" i="3"/>
  <c r="S39" i="3"/>
  <c r="S41" i="3"/>
  <c r="S49" i="3"/>
  <c r="S51" i="3"/>
  <c r="S52" i="3"/>
  <c r="S53" i="3"/>
  <c r="S54" i="3"/>
  <c r="S55" i="3"/>
  <c r="S56" i="3"/>
  <c r="S57" i="3"/>
  <c r="S58" i="3"/>
  <c r="S59" i="3"/>
  <c r="S60" i="3"/>
  <c r="S61" i="3"/>
  <c r="S62" i="3"/>
  <c r="S7" i="3"/>
  <c r="S9" i="3"/>
  <c r="S10" i="3"/>
  <c r="S11" i="3"/>
  <c r="S91" i="3"/>
  <c r="S93" i="3"/>
  <c r="S94" i="3"/>
  <c r="S95" i="3"/>
  <c r="S96" i="3"/>
  <c r="S97" i="3"/>
  <c r="S98" i="3"/>
  <c r="S99" i="3"/>
  <c r="S100" i="3"/>
  <c r="S101" i="3"/>
  <c r="S102" i="3"/>
  <c r="S103" i="3"/>
  <c r="S104" i="3"/>
  <c r="S70" i="3"/>
  <c r="S72" i="3"/>
  <c r="S73" i="3"/>
  <c r="S74" i="3"/>
  <c r="S75" i="3"/>
  <c r="S76" i="3"/>
  <c r="S77" i="3"/>
  <c r="S78" i="3"/>
  <c r="S79" i="3"/>
  <c r="S80" i="3"/>
  <c r="S81" i="3"/>
  <c r="S82" i="3"/>
  <c r="S83" i="3"/>
  <c r="T28" i="3"/>
  <c r="T30" i="3"/>
  <c r="T31" i="3"/>
  <c r="T32" i="3"/>
  <c r="T35" i="3"/>
  <c r="T36" i="3"/>
  <c r="T37" i="3"/>
  <c r="T38" i="3"/>
  <c r="T39" i="3"/>
  <c r="T40" i="3"/>
  <c r="T41" i="3"/>
  <c r="T49" i="3"/>
  <c r="T51" i="3"/>
  <c r="T52" i="3"/>
  <c r="T53" i="3"/>
  <c r="T54" i="3"/>
  <c r="T55" i="3"/>
  <c r="T56" i="3"/>
  <c r="T57" i="3"/>
  <c r="T58" i="3"/>
  <c r="T59" i="3"/>
  <c r="T60" i="3"/>
  <c r="T61" i="3"/>
  <c r="T62" i="3"/>
  <c r="T7" i="3"/>
  <c r="T9" i="3"/>
  <c r="T10" i="3"/>
  <c r="T11" i="3"/>
  <c r="T12" i="3"/>
  <c r="T91" i="3"/>
  <c r="T93" i="3"/>
  <c r="T94" i="3"/>
  <c r="T95" i="3"/>
  <c r="T96" i="3"/>
  <c r="T97" i="3"/>
  <c r="T98" i="3"/>
  <c r="T99" i="3"/>
  <c r="T100" i="3"/>
  <c r="T101" i="3"/>
  <c r="T102" i="3"/>
  <c r="T103" i="3"/>
  <c r="T104" i="3"/>
  <c r="T70" i="3"/>
  <c r="T72" i="3"/>
  <c r="T73" i="3"/>
  <c r="T74" i="3"/>
  <c r="T75" i="3"/>
  <c r="T76" i="3"/>
  <c r="T77" i="3"/>
  <c r="T78" i="3"/>
  <c r="T79" i="3"/>
  <c r="T80" i="3"/>
  <c r="T81" i="3"/>
  <c r="T82" i="3"/>
  <c r="T83" i="3"/>
  <c r="U28" i="3"/>
  <c r="U30" i="3"/>
  <c r="U31" i="3"/>
  <c r="U32" i="3"/>
  <c r="U35" i="3"/>
  <c r="U36" i="3"/>
  <c r="U37" i="3"/>
  <c r="U38" i="3"/>
  <c r="U39" i="3"/>
  <c r="U40" i="3"/>
  <c r="U41" i="3"/>
  <c r="U49" i="3"/>
  <c r="U51" i="3"/>
  <c r="U52" i="3"/>
  <c r="U53" i="3"/>
  <c r="U54" i="3"/>
  <c r="U55" i="3"/>
  <c r="U56" i="3"/>
  <c r="U57" i="3"/>
  <c r="U58" i="3"/>
  <c r="U59" i="3"/>
  <c r="U60" i="3"/>
  <c r="U61" i="3"/>
  <c r="U62" i="3"/>
  <c r="U7" i="3"/>
  <c r="U9" i="3"/>
  <c r="U10" i="3"/>
  <c r="U11" i="3"/>
  <c r="U12" i="3"/>
  <c r="U13" i="3"/>
  <c r="U91" i="3"/>
  <c r="U93" i="3"/>
  <c r="U94" i="3"/>
  <c r="U95" i="3"/>
  <c r="U96" i="3"/>
  <c r="U97" i="3"/>
  <c r="U98" i="3"/>
  <c r="U99" i="3"/>
  <c r="U100" i="3"/>
  <c r="U101" i="3"/>
  <c r="U102" i="3"/>
  <c r="U103" i="3"/>
  <c r="U104" i="3"/>
  <c r="U70" i="3"/>
  <c r="U72" i="3"/>
  <c r="U73" i="3"/>
  <c r="U74" i="3"/>
  <c r="U75" i="3"/>
  <c r="U76" i="3"/>
  <c r="U77" i="3"/>
  <c r="U78" i="3"/>
  <c r="U79" i="3"/>
  <c r="U80" i="3"/>
  <c r="U81" i="3"/>
  <c r="U82" i="3"/>
  <c r="U83" i="3"/>
  <c r="V28" i="3"/>
  <c r="V30" i="3"/>
  <c r="V31" i="3"/>
  <c r="V32" i="3"/>
  <c r="V35" i="3"/>
  <c r="V36" i="3"/>
  <c r="V37" i="3"/>
  <c r="V38" i="3"/>
  <c r="V39" i="3"/>
  <c r="V40" i="3"/>
  <c r="V41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7" i="3"/>
  <c r="V9" i="3"/>
  <c r="V10" i="3"/>
  <c r="V11" i="3"/>
  <c r="V12" i="3"/>
  <c r="V13" i="3"/>
  <c r="V14" i="3"/>
  <c r="V91" i="3"/>
  <c r="V93" i="3"/>
  <c r="V94" i="3"/>
  <c r="V95" i="3"/>
  <c r="V96" i="3"/>
  <c r="V97" i="3"/>
  <c r="V98" i="3"/>
  <c r="V99" i="3"/>
  <c r="V100" i="3"/>
  <c r="V101" i="3"/>
  <c r="V102" i="3"/>
  <c r="V103" i="3"/>
  <c r="V104" i="3"/>
  <c r="V70" i="3"/>
  <c r="V72" i="3"/>
  <c r="V73" i="3"/>
  <c r="V74" i="3"/>
  <c r="V75" i="3"/>
  <c r="V76" i="3"/>
  <c r="V77" i="3"/>
  <c r="V78" i="3"/>
  <c r="V79" i="3"/>
  <c r="V80" i="3"/>
  <c r="V81" i="3"/>
  <c r="V82" i="3"/>
  <c r="V83" i="3"/>
  <c r="W28" i="3"/>
  <c r="W30" i="3"/>
  <c r="W31" i="3"/>
  <c r="W32" i="3"/>
  <c r="W35" i="3"/>
  <c r="W36" i="3"/>
  <c r="W37" i="3"/>
  <c r="W38" i="3"/>
  <c r="W39" i="3"/>
  <c r="W40" i="3"/>
  <c r="W41" i="3"/>
  <c r="W49" i="3"/>
  <c r="W51" i="3"/>
  <c r="W52" i="3"/>
  <c r="W53" i="3"/>
  <c r="W54" i="3"/>
  <c r="W55" i="3"/>
  <c r="W56" i="3"/>
  <c r="W57" i="3"/>
  <c r="W58" i="3"/>
  <c r="W59" i="3"/>
  <c r="W60" i="3"/>
  <c r="W61" i="3"/>
  <c r="W62" i="3"/>
  <c r="W7" i="3"/>
  <c r="W9" i="3"/>
  <c r="W10" i="3"/>
  <c r="W11" i="3"/>
  <c r="W12" i="3"/>
  <c r="W13" i="3"/>
  <c r="W14" i="3"/>
  <c r="W15" i="3"/>
  <c r="W91" i="3"/>
  <c r="W93" i="3"/>
  <c r="W94" i="3"/>
  <c r="W95" i="3"/>
  <c r="W96" i="3"/>
  <c r="W97" i="3"/>
  <c r="W98" i="3"/>
  <c r="W99" i="3"/>
  <c r="W100" i="3"/>
  <c r="W101" i="3"/>
  <c r="W102" i="3"/>
  <c r="W103" i="3"/>
  <c r="W104" i="3"/>
  <c r="W70" i="3"/>
  <c r="W72" i="3"/>
  <c r="W73" i="3"/>
  <c r="W74" i="3"/>
  <c r="W75" i="3"/>
  <c r="W76" i="3"/>
  <c r="W77" i="3"/>
  <c r="W78" i="3"/>
  <c r="W79" i="3"/>
  <c r="W80" i="3"/>
  <c r="W81" i="3"/>
  <c r="W82" i="3"/>
  <c r="W83" i="3"/>
  <c r="X28" i="3"/>
  <c r="X30" i="3"/>
  <c r="X31" i="3"/>
  <c r="X32" i="3"/>
  <c r="X35" i="3"/>
  <c r="X36" i="3"/>
  <c r="X37" i="3"/>
  <c r="X38" i="3"/>
  <c r="X39" i="3"/>
  <c r="X40" i="3"/>
  <c r="X41" i="3"/>
  <c r="X49" i="3"/>
  <c r="X51" i="3"/>
  <c r="X52" i="3"/>
  <c r="X53" i="3"/>
  <c r="X54" i="3"/>
  <c r="X55" i="3"/>
  <c r="X56" i="3"/>
  <c r="X57" i="3"/>
  <c r="X58" i="3"/>
  <c r="X59" i="3"/>
  <c r="X60" i="3"/>
  <c r="X61" i="3"/>
  <c r="X62" i="3"/>
  <c r="X7" i="3"/>
  <c r="X9" i="3"/>
  <c r="X10" i="3"/>
  <c r="X11" i="3"/>
  <c r="X12" i="3"/>
  <c r="X13" i="3"/>
  <c r="X14" i="3"/>
  <c r="X15" i="3"/>
  <c r="X16" i="3"/>
  <c r="X91" i="3"/>
  <c r="X93" i="3"/>
  <c r="X94" i="3"/>
  <c r="X95" i="3"/>
  <c r="X96" i="3"/>
  <c r="X97" i="3"/>
  <c r="X98" i="3"/>
  <c r="X99" i="3"/>
  <c r="X100" i="3"/>
  <c r="X101" i="3"/>
  <c r="X102" i="3"/>
  <c r="X103" i="3"/>
  <c r="X104" i="3"/>
  <c r="X70" i="3"/>
  <c r="X72" i="3"/>
  <c r="X73" i="3"/>
  <c r="X74" i="3"/>
  <c r="X75" i="3"/>
  <c r="X76" i="3"/>
  <c r="X77" i="3"/>
  <c r="X78" i="3"/>
  <c r="X79" i="3"/>
  <c r="X80" i="3"/>
  <c r="X81" i="3"/>
  <c r="X82" i="3"/>
  <c r="X83" i="3"/>
  <c r="Y28" i="3"/>
  <c r="Y30" i="3"/>
  <c r="Y31" i="3"/>
  <c r="Y32" i="3"/>
  <c r="Y35" i="3"/>
  <c r="Y36" i="3"/>
  <c r="Y37" i="3"/>
  <c r="Y38" i="3"/>
  <c r="Y39" i="3"/>
  <c r="Y40" i="3"/>
  <c r="Y41" i="3"/>
  <c r="Y49" i="3"/>
  <c r="Y51" i="3"/>
  <c r="Y52" i="3"/>
  <c r="Y53" i="3"/>
  <c r="Y54" i="3"/>
  <c r="Y55" i="3"/>
  <c r="Y56" i="3"/>
  <c r="Y57" i="3"/>
  <c r="Y58" i="3"/>
  <c r="Y59" i="3"/>
  <c r="Y60" i="3"/>
  <c r="Y61" i="3"/>
  <c r="Y62" i="3"/>
  <c r="Y7" i="3"/>
  <c r="Y9" i="3"/>
  <c r="Y10" i="3"/>
  <c r="Y11" i="3"/>
  <c r="Y12" i="3"/>
  <c r="Y13" i="3"/>
  <c r="Y14" i="3"/>
  <c r="Y15" i="3"/>
  <c r="Y16" i="3"/>
  <c r="Y17" i="3"/>
  <c r="Y91" i="3"/>
  <c r="Y93" i="3"/>
  <c r="Y94" i="3"/>
  <c r="Y95" i="3"/>
  <c r="Y96" i="3"/>
  <c r="Y97" i="3"/>
  <c r="Y98" i="3"/>
  <c r="Y99" i="3"/>
  <c r="Y100" i="3"/>
  <c r="Y101" i="3"/>
  <c r="Y102" i="3"/>
  <c r="Y103" i="3"/>
  <c r="Y104" i="3"/>
  <c r="Y70" i="3"/>
  <c r="Y72" i="3"/>
  <c r="Y73" i="3"/>
  <c r="Y74" i="3"/>
  <c r="Y75" i="3"/>
  <c r="Y76" i="3"/>
  <c r="Y77" i="3"/>
  <c r="Y78" i="3"/>
  <c r="Y79" i="3"/>
  <c r="Y80" i="3"/>
  <c r="Y81" i="3"/>
  <c r="Y82" i="3"/>
  <c r="Y83" i="3"/>
  <c r="Z30" i="3"/>
  <c r="Z31" i="3"/>
  <c r="Z32" i="3"/>
  <c r="Z35" i="3"/>
  <c r="Z36" i="3"/>
  <c r="Z37" i="3"/>
  <c r="Z38" i="3"/>
  <c r="Z39" i="3"/>
  <c r="Z40" i="3"/>
  <c r="Z41" i="3"/>
  <c r="Z51" i="3"/>
  <c r="Z52" i="3"/>
  <c r="Z53" i="3"/>
  <c r="Z54" i="3"/>
  <c r="Z55" i="3"/>
  <c r="Z56" i="3"/>
  <c r="Z57" i="3"/>
  <c r="Z58" i="3"/>
  <c r="Z59" i="3"/>
  <c r="Z60" i="3"/>
  <c r="Z61" i="3"/>
  <c r="Z62" i="3"/>
  <c r="Z9" i="3"/>
  <c r="Z10" i="3"/>
  <c r="Z11" i="3"/>
  <c r="Z12" i="3"/>
  <c r="Z13" i="3"/>
  <c r="Z14" i="3"/>
  <c r="Z15" i="3"/>
  <c r="Z16" i="3"/>
  <c r="Z17" i="3"/>
  <c r="Z18" i="3"/>
  <c r="Z93" i="3"/>
  <c r="Z94" i="3"/>
  <c r="Z95" i="3"/>
  <c r="Z96" i="3"/>
  <c r="Z97" i="3"/>
  <c r="Z98" i="3"/>
  <c r="Z99" i="3"/>
  <c r="Z100" i="3"/>
  <c r="Z101" i="3"/>
  <c r="Z102" i="3"/>
  <c r="Z103" i="3"/>
  <c r="Z104" i="3"/>
  <c r="Z72" i="3"/>
  <c r="Z73" i="3"/>
  <c r="Z74" i="3"/>
  <c r="Z75" i="3"/>
  <c r="Z76" i="3"/>
  <c r="Z77" i="3"/>
  <c r="Z78" i="3"/>
  <c r="Z79" i="3"/>
  <c r="Z80" i="3"/>
  <c r="Z81" i="3"/>
  <c r="Z82" i="3"/>
  <c r="Z83" i="3"/>
  <c r="B137" i="13"/>
  <c r="C109" i="13"/>
  <c r="C88" i="13"/>
  <c r="C67" i="13"/>
  <c r="C46" i="13"/>
  <c r="C25" i="13"/>
  <c r="O52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31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10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94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73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AA32" i="3"/>
  <c r="AA35" i="3"/>
  <c r="AA36" i="3"/>
  <c r="AA37" i="3"/>
  <c r="AA38" i="3"/>
  <c r="AA39" i="3"/>
  <c r="AA40" i="3"/>
  <c r="AA41" i="3"/>
  <c r="AA53" i="3"/>
  <c r="AA54" i="3"/>
  <c r="AA55" i="3"/>
  <c r="AA56" i="3"/>
  <c r="AA57" i="3"/>
  <c r="AA58" i="3"/>
  <c r="AA59" i="3"/>
  <c r="AA60" i="3"/>
  <c r="AA61" i="3"/>
  <c r="AA62" i="3"/>
  <c r="AA11" i="3"/>
  <c r="AA12" i="3"/>
  <c r="AA13" i="3"/>
  <c r="AA14" i="3"/>
  <c r="AA15" i="3"/>
  <c r="AA16" i="3"/>
  <c r="AA17" i="3"/>
  <c r="AA18" i="3"/>
  <c r="AA19" i="3"/>
  <c r="AA95" i="3"/>
  <c r="AA96" i="3"/>
  <c r="AA97" i="3"/>
  <c r="AA98" i="3"/>
  <c r="AA99" i="3"/>
  <c r="AA100" i="3"/>
  <c r="AA101" i="3"/>
  <c r="AA102" i="3"/>
  <c r="AA103" i="3"/>
  <c r="AA104" i="3"/>
  <c r="AA74" i="3"/>
  <c r="AA75" i="3"/>
  <c r="AA76" i="3"/>
  <c r="AA77" i="3"/>
  <c r="AA78" i="3"/>
  <c r="AA79" i="3"/>
  <c r="AA80" i="3"/>
  <c r="AA81" i="3"/>
  <c r="AA82" i="3"/>
  <c r="AA83" i="3"/>
  <c r="C120" i="13"/>
  <c r="C128" i="13"/>
  <c r="B133" i="13"/>
  <c r="B134" i="3"/>
  <c r="B137" i="12"/>
  <c r="N7" i="13"/>
  <c r="N171" i="13" s="1"/>
  <c r="M7" i="13"/>
  <c r="M171" i="13" s="1"/>
  <c r="L7" i="13"/>
  <c r="L171" i="13" s="1"/>
  <c r="K7" i="13"/>
  <c r="K171" i="13" s="1"/>
  <c r="J7" i="13"/>
  <c r="J171" i="13" s="1"/>
  <c r="I7" i="13"/>
  <c r="I171" i="13" s="1"/>
  <c r="H7" i="13"/>
  <c r="H171" i="13" s="1"/>
  <c r="G7" i="13"/>
  <c r="G171" i="13" s="1"/>
  <c r="F7" i="13"/>
  <c r="F171" i="13" s="1"/>
  <c r="E7" i="13"/>
  <c r="E171" i="13" s="1"/>
  <c r="D7" i="13"/>
  <c r="D171" i="13" s="1"/>
  <c r="C7" i="13"/>
  <c r="C171" i="13" s="1"/>
  <c r="N7" i="12"/>
  <c r="N171" i="12" s="1"/>
  <c r="M7" i="12"/>
  <c r="M171" i="12" s="1"/>
  <c r="L7" i="12"/>
  <c r="L171" i="12" s="1"/>
  <c r="K7" i="12"/>
  <c r="K171" i="12" s="1"/>
  <c r="J7" i="12"/>
  <c r="J171" i="12" s="1"/>
  <c r="I7" i="12"/>
  <c r="I171" i="12" s="1"/>
  <c r="H7" i="12"/>
  <c r="H171" i="12" s="1"/>
  <c r="G7" i="12"/>
  <c r="G171" i="12" s="1"/>
  <c r="F7" i="12"/>
  <c r="F171" i="12" s="1"/>
  <c r="E7" i="12"/>
  <c r="E171" i="12" s="1"/>
  <c r="D7" i="12"/>
  <c r="D171" i="12" s="1"/>
  <c r="C7" i="12"/>
  <c r="C171" i="12" s="1"/>
  <c r="T1" i="9"/>
  <c r="N183" i="13"/>
  <c r="S1" i="9"/>
  <c r="M183" i="13"/>
  <c r="R1" i="9"/>
  <c r="L183" i="13"/>
  <c r="Q1" i="9"/>
  <c r="K183" i="13"/>
  <c r="P1" i="9"/>
  <c r="J183" i="13"/>
  <c r="O1" i="9"/>
  <c r="I183" i="13"/>
  <c r="N1" i="9"/>
  <c r="H183" i="13"/>
  <c r="M1" i="9"/>
  <c r="G183" i="13"/>
  <c r="L1" i="9"/>
  <c r="F183" i="13"/>
  <c r="K1" i="9"/>
  <c r="E183" i="13"/>
  <c r="J1" i="9"/>
  <c r="D183" i="13"/>
  <c r="I1" i="9"/>
  <c r="C183" i="13"/>
  <c r="N168" i="13"/>
  <c r="M168" i="13"/>
  <c r="L168" i="13"/>
  <c r="K168" i="13"/>
  <c r="J168" i="13"/>
  <c r="I168" i="13"/>
  <c r="H168" i="13"/>
  <c r="G168" i="13"/>
  <c r="F168" i="13"/>
  <c r="E168" i="13"/>
  <c r="D168" i="13"/>
  <c r="C168" i="13"/>
  <c r="N25" i="12"/>
  <c r="N46" i="12"/>
  <c r="N67" i="12"/>
  <c r="N88" i="12"/>
  <c r="N109" i="12"/>
  <c r="N168" i="12"/>
  <c r="N191" i="12"/>
  <c r="N200" i="12"/>
  <c r="N204" i="12"/>
  <c r="N212" i="12"/>
  <c r="N236" i="12"/>
  <c r="N243" i="12"/>
  <c r="M25" i="12"/>
  <c r="M46" i="12"/>
  <c r="M67" i="12"/>
  <c r="M88" i="12"/>
  <c r="M109" i="12"/>
  <c r="M168" i="12"/>
  <c r="M191" i="12"/>
  <c r="M200" i="12"/>
  <c r="M204" i="12"/>
  <c r="M212" i="12"/>
  <c r="M236" i="12"/>
  <c r="M243" i="12"/>
  <c r="L25" i="12"/>
  <c r="L46" i="12"/>
  <c r="L67" i="12"/>
  <c r="L88" i="12"/>
  <c r="L109" i="12"/>
  <c r="L168" i="12"/>
  <c r="L191" i="12"/>
  <c r="L200" i="12"/>
  <c r="L204" i="12"/>
  <c r="L212" i="12"/>
  <c r="L236" i="12"/>
  <c r="L243" i="12"/>
  <c r="K25" i="12"/>
  <c r="K46" i="12"/>
  <c r="K67" i="12"/>
  <c r="K88" i="12"/>
  <c r="K109" i="12"/>
  <c r="K168" i="12"/>
  <c r="K191" i="12"/>
  <c r="K200" i="12"/>
  <c r="K204" i="12"/>
  <c r="K212" i="12"/>
  <c r="K236" i="12"/>
  <c r="K243" i="12"/>
  <c r="J25" i="12"/>
  <c r="J46" i="12"/>
  <c r="J67" i="12"/>
  <c r="J88" i="12"/>
  <c r="J109" i="12"/>
  <c r="J168" i="12"/>
  <c r="J191" i="12"/>
  <c r="J200" i="12"/>
  <c r="J204" i="12"/>
  <c r="J212" i="12"/>
  <c r="J236" i="12"/>
  <c r="J243" i="12"/>
  <c r="I25" i="12"/>
  <c r="I46" i="12"/>
  <c r="I67" i="12"/>
  <c r="I88" i="12"/>
  <c r="I109" i="12"/>
  <c r="I168" i="12"/>
  <c r="I191" i="12"/>
  <c r="I200" i="12"/>
  <c r="I204" i="12"/>
  <c r="I212" i="12"/>
  <c r="I236" i="12"/>
  <c r="I243" i="12"/>
  <c r="H25" i="12"/>
  <c r="H46" i="12"/>
  <c r="H67" i="12"/>
  <c r="H88" i="12"/>
  <c r="H109" i="12"/>
  <c r="H168" i="12"/>
  <c r="H191" i="12"/>
  <c r="H200" i="12"/>
  <c r="H204" i="12"/>
  <c r="H212" i="12"/>
  <c r="H236" i="12"/>
  <c r="H243" i="12"/>
  <c r="G25" i="12"/>
  <c r="G46" i="12"/>
  <c r="G67" i="12"/>
  <c r="G88" i="12"/>
  <c r="G109" i="12"/>
  <c r="G168" i="12"/>
  <c r="G191" i="12"/>
  <c r="G200" i="12"/>
  <c r="G204" i="12"/>
  <c r="G212" i="12"/>
  <c r="G236" i="12"/>
  <c r="G243" i="12"/>
  <c r="F25" i="12"/>
  <c r="F46" i="12"/>
  <c r="F67" i="12"/>
  <c r="F88" i="12"/>
  <c r="F109" i="12"/>
  <c r="F168" i="12"/>
  <c r="F191" i="12"/>
  <c r="F200" i="12"/>
  <c r="F204" i="12"/>
  <c r="F212" i="12"/>
  <c r="F236" i="12"/>
  <c r="F243" i="12"/>
  <c r="E25" i="12"/>
  <c r="E46" i="12"/>
  <c r="E67" i="12"/>
  <c r="E88" i="12"/>
  <c r="E109" i="12"/>
  <c r="E168" i="12"/>
  <c r="E191" i="12"/>
  <c r="E200" i="12"/>
  <c r="E204" i="12"/>
  <c r="E212" i="12"/>
  <c r="E236" i="12"/>
  <c r="E243" i="12"/>
  <c r="D25" i="12"/>
  <c r="D46" i="12"/>
  <c r="D67" i="12"/>
  <c r="D88" i="12"/>
  <c r="D109" i="12"/>
  <c r="D168" i="12"/>
  <c r="D191" i="12"/>
  <c r="D200" i="12"/>
  <c r="D204" i="12"/>
  <c r="D212" i="12"/>
  <c r="D236" i="12"/>
  <c r="D243" i="12"/>
  <c r="C25" i="12"/>
  <c r="C46" i="12"/>
  <c r="C67" i="12"/>
  <c r="C88" i="12"/>
  <c r="C109" i="12"/>
  <c r="C168" i="12"/>
  <c r="C191" i="12"/>
  <c r="C200" i="12"/>
  <c r="C204" i="12"/>
  <c r="C212" i="12"/>
  <c r="C236" i="12"/>
  <c r="C243" i="12"/>
  <c r="N180" i="3"/>
  <c r="N22" i="3"/>
  <c r="N43" i="3"/>
  <c r="N64" i="3"/>
  <c r="N85" i="3"/>
  <c r="N106" i="3"/>
  <c r="N268" i="3"/>
  <c r="C283" i="3"/>
  <c r="N285" i="3"/>
  <c r="N165" i="3"/>
  <c r="N187" i="3"/>
  <c r="N196" i="3"/>
  <c r="N200" i="3"/>
  <c r="N208" i="3"/>
  <c r="N232" i="3"/>
  <c r="N239" i="3"/>
  <c r="M180" i="3"/>
  <c r="M22" i="3"/>
  <c r="M43" i="3"/>
  <c r="M64" i="3"/>
  <c r="M85" i="3"/>
  <c r="M106" i="3"/>
  <c r="M268" i="3"/>
  <c r="M285" i="3"/>
  <c r="M165" i="3"/>
  <c r="M187" i="3"/>
  <c r="M196" i="3"/>
  <c r="M200" i="3"/>
  <c r="M208" i="3"/>
  <c r="M232" i="3"/>
  <c r="M239" i="3"/>
  <c r="L180" i="3"/>
  <c r="L22" i="3"/>
  <c r="L43" i="3"/>
  <c r="L64" i="3"/>
  <c r="L85" i="3"/>
  <c r="L106" i="3"/>
  <c r="L268" i="3"/>
  <c r="L285" i="3"/>
  <c r="L165" i="3"/>
  <c r="L187" i="3"/>
  <c r="L196" i="3"/>
  <c r="L200" i="3"/>
  <c r="L208" i="3"/>
  <c r="L232" i="3"/>
  <c r="L239" i="3"/>
  <c r="K180" i="3"/>
  <c r="K22" i="3"/>
  <c r="K43" i="3"/>
  <c r="K64" i="3"/>
  <c r="K85" i="3"/>
  <c r="K106" i="3"/>
  <c r="K268" i="3"/>
  <c r="K285" i="3"/>
  <c r="K165" i="3"/>
  <c r="K187" i="3"/>
  <c r="K196" i="3"/>
  <c r="K200" i="3"/>
  <c r="K208" i="3"/>
  <c r="K232" i="3"/>
  <c r="K239" i="3"/>
  <c r="J180" i="3"/>
  <c r="J22" i="3"/>
  <c r="J43" i="3"/>
  <c r="J64" i="3"/>
  <c r="J85" i="3"/>
  <c r="J106" i="3"/>
  <c r="J268" i="3"/>
  <c r="J285" i="3"/>
  <c r="J165" i="3"/>
  <c r="J187" i="3"/>
  <c r="J196" i="3"/>
  <c r="J200" i="3"/>
  <c r="J208" i="3"/>
  <c r="J232" i="3"/>
  <c r="J239" i="3"/>
  <c r="I180" i="3"/>
  <c r="I22" i="3"/>
  <c r="I43" i="3"/>
  <c r="I64" i="3"/>
  <c r="I85" i="3"/>
  <c r="I106" i="3"/>
  <c r="I268" i="3"/>
  <c r="I285" i="3"/>
  <c r="I165" i="3"/>
  <c r="I187" i="3"/>
  <c r="I196" i="3"/>
  <c r="I200" i="3"/>
  <c r="I208" i="3"/>
  <c r="I232" i="3"/>
  <c r="I239" i="3"/>
  <c r="H180" i="3"/>
  <c r="H22" i="3"/>
  <c r="H43" i="3"/>
  <c r="H64" i="3"/>
  <c r="H85" i="3"/>
  <c r="H106" i="3"/>
  <c r="H268" i="3"/>
  <c r="H285" i="3"/>
  <c r="H165" i="3"/>
  <c r="H187" i="3"/>
  <c r="H196" i="3"/>
  <c r="H200" i="3"/>
  <c r="H208" i="3"/>
  <c r="H232" i="3"/>
  <c r="H239" i="3"/>
  <c r="G180" i="3"/>
  <c r="G22" i="3"/>
  <c r="G64" i="3"/>
  <c r="G85" i="3"/>
  <c r="G106" i="3"/>
  <c r="G268" i="3"/>
  <c r="G285" i="3"/>
  <c r="G165" i="3"/>
  <c r="G187" i="3"/>
  <c r="G196" i="3"/>
  <c r="G200" i="3"/>
  <c r="G208" i="3"/>
  <c r="G232" i="3"/>
  <c r="G239" i="3"/>
  <c r="F180" i="3"/>
  <c r="F22" i="3"/>
  <c r="F64" i="3"/>
  <c r="F85" i="3"/>
  <c r="F106" i="3"/>
  <c r="F268" i="3"/>
  <c r="F285" i="3"/>
  <c r="F165" i="3"/>
  <c r="F187" i="3"/>
  <c r="F196" i="3"/>
  <c r="F200" i="3"/>
  <c r="F208" i="3"/>
  <c r="F232" i="3"/>
  <c r="F239" i="3"/>
  <c r="E180" i="3"/>
  <c r="E22" i="3"/>
  <c r="E43" i="3"/>
  <c r="E64" i="3"/>
  <c r="E85" i="3"/>
  <c r="E106" i="3"/>
  <c r="E268" i="3"/>
  <c r="E285" i="3"/>
  <c r="E165" i="3"/>
  <c r="E187" i="3"/>
  <c r="E196" i="3"/>
  <c r="E200" i="3"/>
  <c r="E208" i="3"/>
  <c r="E232" i="3"/>
  <c r="E239" i="3"/>
  <c r="D180" i="3"/>
  <c r="D22" i="3"/>
  <c r="D43" i="3"/>
  <c r="D64" i="3"/>
  <c r="D85" i="3"/>
  <c r="D106" i="3"/>
  <c r="D268" i="3"/>
  <c r="D285" i="3"/>
  <c r="D165" i="3"/>
  <c r="D187" i="3"/>
  <c r="D196" i="3"/>
  <c r="D200" i="3"/>
  <c r="D208" i="3"/>
  <c r="D232" i="3"/>
  <c r="D239" i="3"/>
  <c r="C180" i="3"/>
  <c r="C22" i="3"/>
  <c r="C43" i="3"/>
  <c r="C64" i="3"/>
  <c r="C85" i="3"/>
  <c r="C106" i="3"/>
  <c r="C268" i="3"/>
  <c r="C285" i="3"/>
  <c r="C165" i="3"/>
  <c r="C187" i="3"/>
  <c r="C196" i="3"/>
  <c r="C200" i="3"/>
  <c r="C208" i="3"/>
  <c r="C232" i="3"/>
  <c r="C239" i="3"/>
  <c r="N117" i="3"/>
  <c r="N125" i="3"/>
  <c r="M117" i="3"/>
  <c r="M125" i="3"/>
  <c r="L117" i="3"/>
  <c r="L125" i="3"/>
  <c r="K117" i="3"/>
  <c r="K125" i="3"/>
  <c r="J117" i="3"/>
  <c r="J125" i="3"/>
  <c r="I117" i="3"/>
  <c r="I125" i="3"/>
  <c r="H117" i="3"/>
  <c r="H125" i="3"/>
  <c r="G117" i="3"/>
  <c r="G125" i="3"/>
  <c r="F125" i="3"/>
  <c r="F117" i="3"/>
  <c r="E117" i="3"/>
  <c r="D117" i="3"/>
  <c r="D125" i="3"/>
  <c r="C117" i="3"/>
  <c r="C125" i="3"/>
  <c r="B130" i="3"/>
  <c r="C120" i="12"/>
  <c r="C128" i="12"/>
  <c r="B133" i="12"/>
  <c r="D120" i="12"/>
  <c r="D128" i="12"/>
  <c r="E120" i="12"/>
  <c r="E128" i="12"/>
  <c r="F120" i="12"/>
  <c r="F128" i="12"/>
  <c r="G120" i="12"/>
  <c r="G128" i="12"/>
  <c r="H120" i="12"/>
  <c r="H128" i="12"/>
  <c r="I120" i="12"/>
  <c r="I128" i="12"/>
  <c r="J120" i="12"/>
  <c r="J128" i="12"/>
  <c r="K120" i="12"/>
  <c r="K128" i="12"/>
  <c r="L120" i="12"/>
  <c r="L128" i="12"/>
  <c r="M120" i="12"/>
  <c r="M128" i="12"/>
  <c r="N120" i="12"/>
  <c r="N128" i="12"/>
  <c r="AB12" i="3"/>
  <c r="AB13" i="3"/>
  <c r="AB14" i="3"/>
  <c r="AB15" i="3"/>
  <c r="AB16" i="3"/>
  <c r="AB17" i="3"/>
  <c r="AB18" i="3"/>
  <c r="AB19" i="3"/>
  <c r="AB20" i="3"/>
  <c r="AB35" i="3"/>
  <c r="AB36" i="3"/>
  <c r="AB37" i="3"/>
  <c r="AB38" i="3"/>
  <c r="AB39" i="3"/>
  <c r="AB40" i="3"/>
  <c r="AB41" i="3"/>
  <c r="AB96" i="3"/>
  <c r="AB97" i="3"/>
  <c r="AB98" i="3"/>
  <c r="AB99" i="3"/>
  <c r="AB100" i="3"/>
  <c r="AB101" i="3"/>
  <c r="AB102" i="3"/>
  <c r="AB103" i="3"/>
  <c r="AB104" i="3"/>
  <c r="AB75" i="3"/>
  <c r="AB76" i="3"/>
  <c r="AB77" i="3"/>
  <c r="AB78" i="3"/>
  <c r="AB79" i="3"/>
  <c r="AB80" i="3"/>
  <c r="AB81" i="3"/>
  <c r="AB82" i="3"/>
  <c r="AB83" i="3"/>
  <c r="AB54" i="3"/>
  <c r="AB55" i="3"/>
  <c r="AB56" i="3"/>
  <c r="AB57" i="3"/>
  <c r="AB58" i="3"/>
  <c r="AB59" i="3"/>
  <c r="AB60" i="3"/>
  <c r="AB61" i="3"/>
  <c r="AB62" i="3"/>
  <c r="D46" i="13"/>
  <c r="D25" i="13"/>
  <c r="P31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10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52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94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73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D67" i="13"/>
  <c r="D109" i="13"/>
  <c r="D88" i="13"/>
  <c r="D120" i="13"/>
  <c r="AC13" i="3"/>
  <c r="AC14" i="3"/>
  <c r="AC15" i="3"/>
  <c r="AC16" i="3"/>
  <c r="AC17" i="3"/>
  <c r="AC18" i="3"/>
  <c r="AC19" i="3"/>
  <c r="AC20" i="3"/>
  <c r="AC35" i="3"/>
  <c r="AC36" i="3"/>
  <c r="AC37" i="3"/>
  <c r="AC38" i="3"/>
  <c r="AC39" i="3"/>
  <c r="AC40" i="3"/>
  <c r="AC41" i="3"/>
  <c r="AC97" i="3"/>
  <c r="AC98" i="3"/>
  <c r="AC99" i="3"/>
  <c r="AC100" i="3"/>
  <c r="AC101" i="3"/>
  <c r="AC102" i="3"/>
  <c r="AC103" i="3"/>
  <c r="AC104" i="3"/>
  <c r="AC76" i="3"/>
  <c r="AC77" i="3"/>
  <c r="AC78" i="3"/>
  <c r="AC79" i="3"/>
  <c r="AC80" i="3"/>
  <c r="AC81" i="3"/>
  <c r="AC82" i="3"/>
  <c r="AC83" i="3"/>
  <c r="AC55" i="3"/>
  <c r="AC56" i="3"/>
  <c r="AC57" i="3"/>
  <c r="AC58" i="3"/>
  <c r="AC59" i="3"/>
  <c r="AC60" i="3"/>
  <c r="AC61" i="3"/>
  <c r="AC62" i="3"/>
  <c r="E46" i="13"/>
  <c r="E25" i="13"/>
  <c r="Q31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10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52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94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73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E67" i="13"/>
  <c r="E109" i="13"/>
  <c r="E88" i="13"/>
  <c r="E120" i="13"/>
  <c r="AD14" i="3"/>
  <c r="AD15" i="3"/>
  <c r="AD16" i="3"/>
  <c r="AD17" i="3"/>
  <c r="AD18" i="3"/>
  <c r="AD19" i="3"/>
  <c r="AD20" i="3"/>
  <c r="AD35" i="3"/>
  <c r="AD36" i="3"/>
  <c r="AD37" i="3"/>
  <c r="AD38" i="3"/>
  <c r="AD39" i="3"/>
  <c r="AD40" i="3"/>
  <c r="AD41" i="3"/>
  <c r="AD98" i="3"/>
  <c r="AD99" i="3"/>
  <c r="AD100" i="3"/>
  <c r="AD101" i="3"/>
  <c r="AD102" i="3"/>
  <c r="AD103" i="3"/>
  <c r="AD104" i="3"/>
  <c r="AD77" i="3"/>
  <c r="AD78" i="3"/>
  <c r="AD79" i="3"/>
  <c r="AD80" i="3"/>
  <c r="AD81" i="3"/>
  <c r="AD82" i="3"/>
  <c r="AD83" i="3"/>
  <c r="AD56" i="3"/>
  <c r="AD57" i="3"/>
  <c r="AD58" i="3"/>
  <c r="AD59" i="3"/>
  <c r="AD60" i="3"/>
  <c r="AD61" i="3"/>
  <c r="AD62" i="3"/>
  <c r="F46" i="13"/>
  <c r="F25" i="13"/>
  <c r="R31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10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52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94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73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F67" i="13"/>
  <c r="F109" i="13"/>
  <c r="F88" i="13"/>
  <c r="F120" i="13"/>
  <c r="AE15" i="3"/>
  <c r="AE16" i="3"/>
  <c r="AE17" i="3"/>
  <c r="AE18" i="3"/>
  <c r="AE19" i="3"/>
  <c r="AE20" i="3"/>
  <c r="AE36" i="3"/>
  <c r="AE37" i="3"/>
  <c r="AE38" i="3"/>
  <c r="AE39" i="3"/>
  <c r="AE40" i="3"/>
  <c r="AE41" i="3"/>
  <c r="AE99" i="3"/>
  <c r="AE100" i="3"/>
  <c r="AE101" i="3"/>
  <c r="AE102" i="3"/>
  <c r="AE103" i="3"/>
  <c r="AE104" i="3"/>
  <c r="AE78" i="3"/>
  <c r="AE79" i="3"/>
  <c r="AE80" i="3"/>
  <c r="AE81" i="3"/>
  <c r="AE82" i="3"/>
  <c r="AE83" i="3"/>
  <c r="AE57" i="3"/>
  <c r="AE58" i="3"/>
  <c r="AE59" i="3"/>
  <c r="AE60" i="3"/>
  <c r="AE61" i="3"/>
  <c r="AE62" i="3"/>
  <c r="G46" i="13"/>
  <c r="G25" i="13"/>
  <c r="S31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10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52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94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73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G67" i="13"/>
  <c r="G109" i="13"/>
  <c r="G88" i="13"/>
  <c r="G120" i="13"/>
  <c r="AF16" i="3"/>
  <c r="AF17" i="3"/>
  <c r="AF18" i="3"/>
  <c r="AF19" i="3"/>
  <c r="AF20" i="3"/>
  <c r="AF37" i="3"/>
  <c r="AF38" i="3"/>
  <c r="AF39" i="3"/>
  <c r="AF40" i="3"/>
  <c r="AF41" i="3"/>
  <c r="AF100" i="3"/>
  <c r="AF101" i="3"/>
  <c r="AF102" i="3"/>
  <c r="AF103" i="3"/>
  <c r="AF104" i="3"/>
  <c r="AF79" i="3"/>
  <c r="AF80" i="3"/>
  <c r="AF81" i="3"/>
  <c r="AF82" i="3"/>
  <c r="AF83" i="3"/>
  <c r="AF58" i="3"/>
  <c r="AF59" i="3"/>
  <c r="AF60" i="3"/>
  <c r="AF61" i="3"/>
  <c r="AF62" i="3"/>
  <c r="H46" i="13"/>
  <c r="H25" i="13"/>
  <c r="T31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10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52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94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73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H67" i="13"/>
  <c r="H109" i="13"/>
  <c r="H88" i="13"/>
  <c r="H120" i="13"/>
  <c r="AG17" i="3"/>
  <c r="AG18" i="3"/>
  <c r="AG19" i="3"/>
  <c r="AG20" i="3"/>
  <c r="AG38" i="3"/>
  <c r="AG39" i="3"/>
  <c r="AG40" i="3"/>
  <c r="AG41" i="3"/>
  <c r="AG101" i="3"/>
  <c r="AG102" i="3"/>
  <c r="AG103" i="3"/>
  <c r="AG104" i="3"/>
  <c r="AG80" i="3"/>
  <c r="AG81" i="3"/>
  <c r="AG82" i="3"/>
  <c r="AG83" i="3"/>
  <c r="AG59" i="3"/>
  <c r="AG60" i="3"/>
  <c r="AG61" i="3"/>
  <c r="AG62" i="3"/>
  <c r="I46" i="13"/>
  <c r="I25" i="13"/>
  <c r="U31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10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52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94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73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I67" i="13"/>
  <c r="I109" i="13"/>
  <c r="I88" i="13"/>
  <c r="I120" i="13"/>
  <c r="AH18" i="3"/>
  <c r="AH19" i="3"/>
  <c r="AH20" i="3"/>
  <c r="AH39" i="3"/>
  <c r="AH40" i="3"/>
  <c r="AH41" i="3"/>
  <c r="AH102" i="3"/>
  <c r="AH103" i="3"/>
  <c r="AH104" i="3"/>
  <c r="AH81" i="3"/>
  <c r="AH82" i="3"/>
  <c r="AH83" i="3"/>
  <c r="AH60" i="3"/>
  <c r="AH61" i="3"/>
  <c r="AH62" i="3"/>
  <c r="J46" i="13"/>
  <c r="J25" i="13"/>
  <c r="V31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10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52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94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73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J67" i="13"/>
  <c r="J109" i="13"/>
  <c r="J88" i="13"/>
  <c r="J120" i="13"/>
  <c r="AI19" i="3"/>
  <c r="AI20" i="3"/>
  <c r="AI40" i="3"/>
  <c r="AI41" i="3"/>
  <c r="AI103" i="3"/>
  <c r="AI104" i="3"/>
  <c r="AI82" i="3"/>
  <c r="AI83" i="3"/>
  <c r="AI61" i="3"/>
  <c r="AI62" i="3"/>
  <c r="K46" i="13"/>
  <c r="K25" i="13"/>
  <c r="W31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10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52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94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73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K67" i="13"/>
  <c r="K109" i="13"/>
  <c r="K88" i="13"/>
  <c r="K120" i="13"/>
  <c r="AJ20" i="3"/>
  <c r="AJ8" i="3" s="1"/>
  <c r="AJ41" i="3"/>
  <c r="AJ29" i="3" s="1"/>
  <c r="AJ104" i="3"/>
  <c r="AJ92" i="3" s="1"/>
  <c r="AJ105" i="3" s="1"/>
  <c r="AJ83" i="3"/>
  <c r="AJ71" i="3" s="1"/>
  <c r="AJ84" i="3" s="1"/>
  <c r="AJ62" i="3"/>
  <c r="AJ50" i="3" s="1"/>
  <c r="L46" i="13"/>
  <c r="L25" i="13"/>
  <c r="X31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10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52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94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73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L67" i="13"/>
  <c r="L109" i="13"/>
  <c r="L88" i="13"/>
  <c r="L120" i="13"/>
  <c r="A287" i="12"/>
  <c r="C286" i="13"/>
  <c r="D286" i="13" s="1"/>
  <c r="E286" i="13" s="1"/>
  <c r="F286" i="13" s="1"/>
  <c r="N287" i="13"/>
  <c r="N288" i="13"/>
  <c r="N289" i="13"/>
  <c r="B296" i="12"/>
  <c r="B295" i="13" s="1"/>
  <c r="B297" i="12"/>
  <c r="B296" i="13" s="1"/>
  <c r="B299" i="12"/>
  <c r="B298" i="13" s="1"/>
  <c r="M287" i="13"/>
  <c r="M288" i="13"/>
  <c r="M289" i="13"/>
  <c r="L287" i="13"/>
  <c r="L288" i="13"/>
  <c r="L289" i="13"/>
  <c r="K287" i="13"/>
  <c r="K288" i="13"/>
  <c r="K289" i="13"/>
  <c r="J287" i="13"/>
  <c r="J288" i="13"/>
  <c r="J289" i="13"/>
  <c r="I287" i="13"/>
  <c r="I288" i="13"/>
  <c r="I289" i="13"/>
  <c r="H287" i="13"/>
  <c r="H288" i="13"/>
  <c r="H289" i="13"/>
  <c r="G287" i="13"/>
  <c r="G288" i="13"/>
  <c r="G289" i="13"/>
  <c r="F287" i="13"/>
  <c r="F288" i="13"/>
  <c r="F289" i="13"/>
  <c r="E287" i="13"/>
  <c r="E288" i="13"/>
  <c r="E289" i="13"/>
  <c r="D287" i="13"/>
  <c r="D288" i="13"/>
  <c r="D289" i="13"/>
  <c r="C287" i="13"/>
  <c r="C288" i="13"/>
  <c r="C289" i="13"/>
  <c r="D13" i="2"/>
  <c r="C287" i="12"/>
  <c r="D287" i="12" s="1"/>
  <c r="E287" i="12" s="1"/>
  <c r="N288" i="12"/>
  <c r="N289" i="12"/>
  <c r="N290" i="12"/>
  <c r="M288" i="12"/>
  <c r="M289" i="12"/>
  <c r="M290" i="12"/>
  <c r="L288" i="12"/>
  <c r="L289" i="12"/>
  <c r="L290" i="12"/>
  <c r="K288" i="12"/>
  <c r="K289" i="12"/>
  <c r="K290" i="12"/>
  <c r="J288" i="12"/>
  <c r="J289" i="12"/>
  <c r="J290" i="12"/>
  <c r="I288" i="12"/>
  <c r="I289" i="12"/>
  <c r="I290" i="12"/>
  <c r="H288" i="12"/>
  <c r="H289" i="12"/>
  <c r="H290" i="12"/>
  <c r="G288" i="12"/>
  <c r="G289" i="12"/>
  <c r="G290" i="12"/>
  <c r="F288" i="12"/>
  <c r="F289" i="12"/>
  <c r="F290" i="12"/>
  <c r="E288" i="12"/>
  <c r="E289" i="12"/>
  <c r="E290" i="12"/>
  <c r="D288" i="12"/>
  <c r="D289" i="12"/>
  <c r="D290" i="12"/>
  <c r="C288" i="12"/>
  <c r="C289" i="12"/>
  <c r="C290" i="12"/>
  <c r="D32" i="2" s="1"/>
  <c r="N127" i="3"/>
  <c r="N111" i="3" s="1"/>
  <c r="N119" i="3" s="1"/>
  <c r="M127" i="3"/>
  <c r="M111" i="3" s="1"/>
  <c r="M119" i="3" s="1"/>
  <c r="L127" i="3"/>
  <c r="L111" i="3" s="1"/>
  <c r="L119" i="3" s="1"/>
  <c r="K127" i="3"/>
  <c r="K129" i="3" s="1"/>
  <c r="K132" i="3" s="1"/>
  <c r="J127" i="3"/>
  <c r="J111" i="3" s="1"/>
  <c r="J119" i="3" s="1"/>
  <c r="I127" i="3"/>
  <c r="I67" i="3" s="1"/>
  <c r="H127" i="3"/>
  <c r="H111" i="3" s="1"/>
  <c r="H119" i="3" s="1"/>
  <c r="G127" i="3"/>
  <c r="G46" i="3" s="1"/>
  <c r="F127" i="3"/>
  <c r="F111" i="3" s="1"/>
  <c r="F119" i="3" s="1"/>
  <c r="E127" i="3"/>
  <c r="E129" i="3" s="1"/>
  <c r="E132" i="3" s="1"/>
  <c r="D127" i="3"/>
  <c r="D111" i="3" s="1"/>
  <c r="D119" i="3" s="1"/>
  <c r="C127" i="3"/>
  <c r="C111" i="3" s="1"/>
  <c r="C119" i="3" s="1"/>
  <c r="B303" i="12"/>
  <c r="B302" i="13" s="1"/>
  <c r="F9" i="2"/>
  <c r="M67" i="13"/>
  <c r="Y10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31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94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73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52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M109" i="13"/>
  <c r="M46" i="13"/>
  <c r="M25" i="13"/>
  <c r="M88" i="13"/>
  <c r="M120" i="13"/>
  <c r="G9" i="2"/>
  <c r="F10" i="2"/>
  <c r="F11" i="2"/>
  <c r="E9" i="2"/>
  <c r="E10" i="2" s="1"/>
  <c r="E11" i="2" s="1"/>
  <c r="E12" i="2" s="1"/>
  <c r="G28" i="2"/>
  <c r="F28" i="2"/>
  <c r="D31" i="2"/>
  <c r="B258" i="12"/>
  <c r="B257" i="13" s="1"/>
  <c r="B262" i="12"/>
  <c r="B263" i="12"/>
  <c r="B264" i="12"/>
  <c r="B265" i="12"/>
  <c r="B264" i="13" s="1"/>
  <c r="B266" i="12"/>
  <c r="B265" i="13" s="1"/>
  <c r="B267" i="12"/>
  <c r="B266" i="13" s="1"/>
  <c r="B268" i="12"/>
  <c r="B267" i="13" s="1"/>
  <c r="B269" i="12"/>
  <c r="B268" i="13" s="1"/>
  <c r="B270" i="12"/>
  <c r="B269" i="13" s="1"/>
  <c r="B271" i="12"/>
  <c r="B270" i="13" s="1"/>
  <c r="B250" i="12"/>
  <c r="B249" i="13" s="1"/>
  <c r="B251" i="12"/>
  <c r="B250" i="13" s="1"/>
  <c r="B252" i="12"/>
  <c r="B251" i="13" s="1"/>
  <c r="B253" i="12"/>
  <c r="B252" i="13" s="1"/>
  <c r="B254" i="12"/>
  <c r="B253" i="13" s="1"/>
  <c r="B255" i="12"/>
  <c r="B254" i="13" s="1"/>
  <c r="B256" i="12"/>
  <c r="B255" i="13" s="1"/>
  <c r="B257" i="12"/>
  <c r="B256" i="13" s="1"/>
  <c r="C235" i="13"/>
  <c r="N67" i="13"/>
  <c r="N25" i="13"/>
  <c r="N109" i="13"/>
  <c r="N46" i="13"/>
  <c r="N88" i="13"/>
  <c r="Z12" i="12"/>
  <c r="Z13" i="12"/>
  <c r="Z14" i="12"/>
  <c r="Z15" i="12"/>
  <c r="Z16" i="12"/>
  <c r="Z17" i="12"/>
  <c r="Z18" i="12"/>
  <c r="Z19" i="12"/>
  <c r="Z20" i="12"/>
  <c r="Z21" i="12"/>
  <c r="Z22" i="12"/>
  <c r="Z23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N120" i="13"/>
  <c r="C28" i="13"/>
  <c r="C49" i="13" s="1"/>
  <c r="C70" i="13" s="1"/>
  <c r="C91" i="13" s="1"/>
  <c r="C114" i="13" s="1"/>
  <c r="C122" i="13" s="1"/>
  <c r="C130" i="13" s="1"/>
  <c r="G21" i="2"/>
  <c r="D16" i="2"/>
  <c r="E16" i="2" s="1"/>
  <c r="F16" i="2" s="1"/>
  <c r="F21" i="2"/>
  <c r="N2" i="12"/>
  <c r="M2" i="12"/>
  <c r="K2" i="12"/>
  <c r="J2" i="12"/>
  <c r="I2" i="12"/>
  <c r="F2" i="12"/>
  <c r="E2" i="12"/>
  <c r="B302" i="12"/>
  <c r="B301" i="13" s="1"/>
  <c r="B301" i="12"/>
  <c r="B300" i="13" s="1"/>
  <c r="B300" i="12"/>
  <c r="B299" i="13" s="1"/>
  <c r="B295" i="12"/>
  <c r="B294" i="13" s="1"/>
  <c r="B294" i="12"/>
  <c r="B293" i="13" s="1"/>
  <c r="B293" i="12"/>
  <c r="B292" i="13" s="1"/>
  <c r="B284" i="12"/>
  <c r="B283" i="13" s="1"/>
  <c r="A284" i="12"/>
  <c r="A283" i="13" s="1"/>
  <c r="B283" i="12"/>
  <c r="B282" i="13" s="1"/>
  <c r="A283" i="12"/>
  <c r="A282" i="13" s="1"/>
  <c r="B282" i="12"/>
  <c r="B281" i="13" s="1"/>
  <c r="A282" i="12"/>
  <c r="A281" i="13" s="1"/>
  <c r="B281" i="12"/>
  <c r="B280" i="13" s="1"/>
  <c r="A281" i="12"/>
  <c r="A280" i="13" s="1"/>
  <c r="B280" i="12"/>
  <c r="B279" i="13" s="1"/>
  <c r="A280" i="12"/>
  <c r="A279" i="13" s="1"/>
  <c r="B279" i="12"/>
  <c r="B278" i="13" s="1"/>
  <c r="A279" i="12"/>
  <c r="A278" i="13" s="1"/>
  <c r="B278" i="12"/>
  <c r="B277" i="13" s="1"/>
  <c r="A278" i="12"/>
  <c r="A277" i="13" s="1"/>
  <c r="B277" i="12"/>
  <c r="B276" i="13" s="1"/>
  <c r="A277" i="12"/>
  <c r="A276" i="13" s="1"/>
  <c r="B276" i="12"/>
  <c r="B275" i="13" s="1"/>
  <c r="A276" i="12"/>
  <c r="A275" i="13" s="1"/>
  <c r="A275" i="12"/>
  <c r="A274" i="13" s="1"/>
  <c r="A271" i="12"/>
  <c r="A270" i="13" s="1"/>
  <c r="A270" i="12"/>
  <c r="A269" i="13" s="1"/>
  <c r="A269" i="12"/>
  <c r="A268" i="13" s="1"/>
  <c r="A268" i="12"/>
  <c r="A267" i="13" s="1"/>
  <c r="A267" i="12"/>
  <c r="A266" i="13" s="1"/>
  <c r="A266" i="12"/>
  <c r="A265" i="13" s="1"/>
  <c r="A265" i="12"/>
  <c r="A264" i="13" s="1"/>
  <c r="A264" i="12"/>
  <c r="A263" i="13" s="1"/>
  <c r="A263" i="12"/>
  <c r="A262" i="13" s="1"/>
  <c r="A262" i="12"/>
  <c r="A261" i="13" s="1"/>
  <c r="A258" i="12"/>
  <c r="A257" i="13" s="1"/>
  <c r="A257" i="12"/>
  <c r="A256" i="13" s="1"/>
  <c r="A256" i="12"/>
  <c r="A255" i="13" s="1"/>
  <c r="A255" i="12"/>
  <c r="A254" i="13" s="1"/>
  <c r="A254" i="12"/>
  <c r="A253" i="13" s="1"/>
  <c r="A253" i="12"/>
  <c r="A252" i="13" s="1"/>
  <c r="A252" i="12"/>
  <c r="A251" i="13" s="1"/>
  <c r="A251" i="12"/>
  <c r="A250" i="13" s="1"/>
  <c r="A250" i="12"/>
  <c r="A249" i="13" s="1"/>
  <c r="A249" i="12"/>
  <c r="A248" i="13" s="1"/>
  <c r="A149" i="13"/>
  <c r="A231" i="13" s="1"/>
  <c r="C27" i="1"/>
  <c r="C30" i="1" s="1"/>
  <c r="A148" i="13"/>
  <c r="A227" i="13" s="1"/>
  <c r="A147" i="13"/>
  <c r="A223" i="13" s="1"/>
  <c r="A146" i="13"/>
  <c r="A219" i="13" s="1"/>
  <c r="A145" i="13"/>
  <c r="A215" i="13" s="1"/>
  <c r="C34" i="1"/>
  <c r="C36" i="1" s="1"/>
  <c r="A29" i="12"/>
  <c r="A50" i="12" s="1"/>
  <c r="A71" i="12" s="1"/>
  <c r="A92" i="12" s="1"/>
  <c r="A148" i="12"/>
  <c r="A228" i="12" s="1"/>
  <c r="A147" i="12"/>
  <c r="A224" i="12" s="1"/>
  <c r="A146" i="12"/>
  <c r="A220" i="12" s="1"/>
  <c r="A145" i="12"/>
  <c r="A216" i="12" s="1"/>
  <c r="N242" i="13"/>
  <c r="M242" i="13"/>
  <c r="L242" i="13"/>
  <c r="K242" i="13"/>
  <c r="J242" i="13"/>
  <c r="I242" i="13"/>
  <c r="H242" i="13"/>
  <c r="G242" i="13"/>
  <c r="F242" i="13"/>
  <c r="E242" i="13"/>
  <c r="D242" i="13"/>
  <c r="C242" i="13"/>
  <c r="N235" i="13"/>
  <c r="M235" i="13"/>
  <c r="L235" i="13"/>
  <c r="K235" i="13"/>
  <c r="J235" i="13"/>
  <c r="I235" i="13"/>
  <c r="H235" i="13"/>
  <c r="G235" i="13"/>
  <c r="F235" i="13"/>
  <c r="E235" i="13"/>
  <c r="D235" i="13"/>
  <c r="N211" i="13"/>
  <c r="M211" i="13"/>
  <c r="L211" i="13"/>
  <c r="K211" i="13"/>
  <c r="J211" i="13"/>
  <c r="I211" i="13"/>
  <c r="H211" i="13"/>
  <c r="G211" i="13"/>
  <c r="F211" i="13"/>
  <c r="E211" i="13"/>
  <c r="D211" i="13"/>
  <c r="C211" i="13"/>
  <c r="N203" i="13"/>
  <c r="M203" i="13"/>
  <c r="L203" i="13"/>
  <c r="K203" i="13"/>
  <c r="J203" i="13"/>
  <c r="I203" i="13"/>
  <c r="H203" i="13"/>
  <c r="G203" i="13"/>
  <c r="F203" i="13"/>
  <c r="E203" i="13"/>
  <c r="D203" i="13"/>
  <c r="C203" i="13"/>
  <c r="N199" i="13"/>
  <c r="M199" i="13"/>
  <c r="L199" i="13"/>
  <c r="K199" i="13"/>
  <c r="J199" i="13"/>
  <c r="I199" i="13"/>
  <c r="H199" i="13"/>
  <c r="G199" i="13"/>
  <c r="F199" i="13"/>
  <c r="E199" i="13"/>
  <c r="D199" i="13"/>
  <c r="C199" i="13"/>
  <c r="N190" i="13"/>
  <c r="M190" i="13"/>
  <c r="L190" i="13"/>
  <c r="K190" i="13"/>
  <c r="J190" i="13"/>
  <c r="I190" i="13"/>
  <c r="H190" i="13"/>
  <c r="G190" i="13"/>
  <c r="F190" i="13"/>
  <c r="E190" i="13"/>
  <c r="D190" i="13"/>
  <c r="C190" i="13"/>
  <c r="A137" i="13"/>
  <c r="A133" i="13"/>
  <c r="N128" i="13"/>
  <c r="M128" i="13"/>
  <c r="L128" i="13"/>
  <c r="K128" i="13"/>
  <c r="J128" i="13"/>
  <c r="I128" i="13"/>
  <c r="H128" i="13"/>
  <c r="G128" i="13"/>
  <c r="F128" i="13"/>
  <c r="E128" i="13"/>
  <c r="D128" i="13"/>
  <c r="AJ107" i="13"/>
  <c r="AJ95" i="13" s="1"/>
  <c r="AJ86" i="13"/>
  <c r="AJ74" i="13" s="1"/>
  <c r="AJ65" i="13"/>
  <c r="AJ53" i="13" s="1"/>
  <c r="AJ44" i="13"/>
  <c r="AJ32" i="13" s="1"/>
  <c r="AJ23" i="13"/>
  <c r="AJ11" i="13" s="1"/>
  <c r="AI106" i="13"/>
  <c r="AI107" i="13"/>
  <c r="AI85" i="13"/>
  <c r="AI86" i="13"/>
  <c r="AI64" i="13"/>
  <c r="AI65" i="13"/>
  <c r="AI43" i="13"/>
  <c r="AI44" i="13"/>
  <c r="AI22" i="13"/>
  <c r="AI23" i="13"/>
  <c r="AH105" i="13"/>
  <c r="AH106" i="13"/>
  <c r="AH107" i="13"/>
  <c r="AH84" i="13"/>
  <c r="AH85" i="13"/>
  <c r="AH86" i="13"/>
  <c r="AH63" i="13"/>
  <c r="AH64" i="13"/>
  <c r="AH65" i="13"/>
  <c r="AH42" i="13"/>
  <c r="AH43" i="13"/>
  <c r="AH44" i="13"/>
  <c r="AH21" i="13"/>
  <c r="AH22" i="13"/>
  <c r="AH23" i="13"/>
  <c r="AG104" i="13"/>
  <c r="AG105" i="13"/>
  <c r="AG106" i="13"/>
  <c r="AG107" i="13"/>
  <c r="AG83" i="13"/>
  <c r="AG84" i="13"/>
  <c r="AG85" i="13"/>
  <c r="AG86" i="13"/>
  <c r="AG62" i="13"/>
  <c r="AG63" i="13"/>
  <c r="AG64" i="13"/>
  <c r="AG65" i="13"/>
  <c r="AG41" i="13"/>
  <c r="AG42" i="13"/>
  <c r="AG43" i="13"/>
  <c r="AG44" i="13"/>
  <c r="AG20" i="13"/>
  <c r="AG21" i="13"/>
  <c r="AG22" i="13"/>
  <c r="AG23" i="13"/>
  <c r="AF103" i="13"/>
  <c r="AF104" i="13"/>
  <c r="AF105" i="13"/>
  <c r="AF106" i="13"/>
  <c r="AF107" i="13"/>
  <c r="AF82" i="13"/>
  <c r="AF83" i="13"/>
  <c r="AF84" i="13"/>
  <c r="AF85" i="13"/>
  <c r="AF86" i="13"/>
  <c r="AF61" i="13"/>
  <c r="AF62" i="13"/>
  <c r="AF63" i="13"/>
  <c r="AF64" i="13"/>
  <c r="AF65" i="13"/>
  <c r="AF40" i="13"/>
  <c r="AF41" i="13"/>
  <c r="AF42" i="13"/>
  <c r="AF43" i="13"/>
  <c r="AF44" i="13"/>
  <c r="AF19" i="13"/>
  <c r="AF20" i="13"/>
  <c r="AF21" i="13"/>
  <c r="AF22" i="13"/>
  <c r="AF23" i="13"/>
  <c r="AE102" i="13"/>
  <c r="AE103" i="13"/>
  <c r="AE104" i="13"/>
  <c r="AE105" i="13"/>
  <c r="AE106" i="13"/>
  <c r="AE107" i="13"/>
  <c r="AE81" i="13"/>
  <c r="AE82" i="13"/>
  <c r="AE83" i="13"/>
  <c r="AE84" i="13"/>
  <c r="AE85" i="13"/>
  <c r="AE86" i="13"/>
  <c r="AE60" i="13"/>
  <c r="AE61" i="13"/>
  <c r="AE62" i="13"/>
  <c r="AE63" i="13"/>
  <c r="AE64" i="13"/>
  <c r="AE65" i="13"/>
  <c r="AE39" i="13"/>
  <c r="AE40" i="13"/>
  <c r="AE41" i="13"/>
  <c r="AE42" i="13"/>
  <c r="AE43" i="13"/>
  <c r="AE44" i="13"/>
  <c r="AE18" i="13"/>
  <c r="AE19" i="13"/>
  <c r="AE20" i="13"/>
  <c r="AE21" i="13"/>
  <c r="AE22" i="13"/>
  <c r="AE23" i="13"/>
  <c r="AD101" i="13"/>
  <c r="AD102" i="13"/>
  <c r="AD103" i="13"/>
  <c r="AD104" i="13"/>
  <c r="AD105" i="13"/>
  <c r="AD106" i="13"/>
  <c r="AD107" i="13"/>
  <c r="AD80" i="13"/>
  <c r="AD81" i="13"/>
  <c r="AD82" i="13"/>
  <c r="AD83" i="13"/>
  <c r="AD84" i="13"/>
  <c r="AD85" i="13"/>
  <c r="AD86" i="13"/>
  <c r="AD59" i="13"/>
  <c r="AD60" i="13"/>
  <c r="AD61" i="13"/>
  <c r="AD62" i="13"/>
  <c r="AD63" i="13"/>
  <c r="AD64" i="13"/>
  <c r="AD65" i="13"/>
  <c r="AD38" i="13"/>
  <c r="AD39" i="13"/>
  <c r="AD40" i="13"/>
  <c r="AD41" i="13"/>
  <c r="AD42" i="13"/>
  <c r="AD43" i="13"/>
  <c r="AD44" i="13"/>
  <c r="AD17" i="13"/>
  <c r="AD18" i="13"/>
  <c r="AD19" i="13"/>
  <c r="AD20" i="13"/>
  <c r="AD21" i="13"/>
  <c r="AD22" i="13"/>
  <c r="AD23" i="13"/>
  <c r="AC100" i="13"/>
  <c r="AC101" i="13"/>
  <c r="AC102" i="13"/>
  <c r="AC103" i="13"/>
  <c r="AC104" i="13"/>
  <c r="AC105" i="13"/>
  <c r="AC106" i="13"/>
  <c r="AC107" i="13"/>
  <c r="AC79" i="13"/>
  <c r="AC80" i="13"/>
  <c r="AC81" i="13"/>
  <c r="AC82" i="13"/>
  <c r="AC83" i="13"/>
  <c r="AC84" i="13"/>
  <c r="AC85" i="13"/>
  <c r="AC86" i="13"/>
  <c r="AC58" i="13"/>
  <c r="AC59" i="13"/>
  <c r="AC60" i="13"/>
  <c r="AC61" i="13"/>
  <c r="AC62" i="13"/>
  <c r="AC63" i="13"/>
  <c r="AC64" i="13"/>
  <c r="AC65" i="13"/>
  <c r="AC37" i="13"/>
  <c r="AC38" i="13"/>
  <c r="AC39" i="13"/>
  <c r="AC40" i="13"/>
  <c r="AC41" i="13"/>
  <c r="AC42" i="13"/>
  <c r="AC43" i="13"/>
  <c r="AC44" i="13"/>
  <c r="AC16" i="13"/>
  <c r="AC17" i="13"/>
  <c r="AC18" i="13"/>
  <c r="AC19" i="13"/>
  <c r="AC20" i="13"/>
  <c r="AC21" i="13"/>
  <c r="AC22" i="13"/>
  <c r="AC23" i="13"/>
  <c r="AB99" i="13"/>
  <c r="AB100" i="13"/>
  <c r="AB101" i="13"/>
  <c r="AB102" i="13"/>
  <c r="AB103" i="13"/>
  <c r="AB104" i="13"/>
  <c r="AB105" i="13"/>
  <c r="AB106" i="13"/>
  <c r="AB107" i="13"/>
  <c r="AB78" i="13"/>
  <c r="AB79" i="13"/>
  <c r="AB80" i="13"/>
  <c r="AB81" i="13"/>
  <c r="AB82" i="13"/>
  <c r="AB83" i="13"/>
  <c r="AB84" i="13"/>
  <c r="AB85" i="13"/>
  <c r="AB86" i="13"/>
  <c r="AB57" i="13"/>
  <c r="AB58" i="13"/>
  <c r="AB59" i="13"/>
  <c r="AB60" i="13"/>
  <c r="AB61" i="13"/>
  <c r="AB62" i="13"/>
  <c r="AB63" i="13"/>
  <c r="AB64" i="13"/>
  <c r="AB65" i="13"/>
  <c r="AB36" i="13"/>
  <c r="AB37" i="13"/>
  <c r="AB38" i="13"/>
  <c r="AB39" i="13"/>
  <c r="AB40" i="13"/>
  <c r="AB41" i="13"/>
  <c r="AB42" i="13"/>
  <c r="AB43" i="13"/>
  <c r="AB44" i="13"/>
  <c r="AB15" i="13"/>
  <c r="AB16" i="13"/>
  <c r="AB17" i="13"/>
  <c r="AB18" i="13"/>
  <c r="AB19" i="13"/>
  <c r="AB20" i="13"/>
  <c r="AB21" i="13"/>
  <c r="AB22" i="13"/>
  <c r="AB23" i="13"/>
  <c r="AA98" i="13"/>
  <c r="AA99" i="13"/>
  <c r="AA100" i="13"/>
  <c r="AA101" i="13"/>
  <c r="AA102" i="13"/>
  <c r="AA103" i="13"/>
  <c r="AA104" i="13"/>
  <c r="AA105" i="13"/>
  <c r="AA106" i="13"/>
  <c r="AA107" i="13"/>
  <c r="AA77" i="13"/>
  <c r="AA78" i="13"/>
  <c r="AA79" i="13"/>
  <c r="AA80" i="13"/>
  <c r="AA81" i="13"/>
  <c r="AA82" i="13"/>
  <c r="AA83" i="13"/>
  <c r="AA84" i="13"/>
  <c r="AA85" i="13"/>
  <c r="AA86" i="13"/>
  <c r="AA56" i="13"/>
  <c r="AA57" i="13"/>
  <c r="AA58" i="13"/>
  <c r="AA59" i="13"/>
  <c r="AA60" i="13"/>
  <c r="AA61" i="13"/>
  <c r="AA62" i="13"/>
  <c r="AA63" i="13"/>
  <c r="AA64" i="13"/>
  <c r="AA65" i="13"/>
  <c r="AA35" i="13"/>
  <c r="AA36" i="13"/>
  <c r="AA37" i="13"/>
  <c r="AA38" i="13"/>
  <c r="AA39" i="13"/>
  <c r="AA40" i="13"/>
  <c r="AA41" i="13"/>
  <c r="AA42" i="13"/>
  <c r="AA43" i="13"/>
  <c r="AA44" i="13"/>
  <c r="AA14" i="13"/>
  <c r="AA15" i="13"/>
  <c r="AA16" i="13"/>
  <c r="AA17" i="13"/>
  <c r="AA18" i="13"/>
  <c r="AA19" i="13"/>
  <c r="AA20" i="13"/>
  <c r="AA21" i="13"/>
  <c r="AA22" i="13"/>
  <c r="AA23" i="13"/>
  <c r="Z96" i="13"/>
  <c r="Z97" i="13"/>
  <c r="Z98" i="13"/>
  <c r="Z99" i="13"/>
  <c r="Z100" i="13"/>
  <c r="Z101" i="13"/>
  <c r="Z102" i="13"/>
  <c r="Z103" i="13"/>
  <c r="Z104" i="13"/>
  <c r="Z105" i="13"/>
  <c r="Z106" i="13"/>
  <c r="Z107" i="13"/>
  <c r="Z75" i="13"/>
  <c r="Z76" i="13"/>
  <c r="Z77" i="13"/>
  <c r="Z78" i="13"/>
  <c r="Z79" i="13"/>
  <c r="Z80" i="13"/>
  <c r="Z81" i="13"/>
  <c r="Z82" i="13"/>
  <c r="Z83" i="13"/>
  <c r="Z84" i="13"/>
  <c r="Z85" i="13"/>
  <c r="Z86" i="13"/>
  <c r="Z54" i="13"/>
  <c r="Z55" i="13"/>
  <c r="Z56" i="13"/>
  <c r="Z57" i="13"/>
  <c r="Z58" i="13"/>
  <c r="Z59" i="13"/>
  <c r="Z60" i="13"/>
  <c r="Z61" i="13"/>
  <c r="Z62" i="13"/>
  <c r="Z63" i="13"/>
  <c r="Z64" i="13"/>
  <c r="Z65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Y94" i="13"/>
  <c r="Y96" i="13"/>
  <c r="Y97" i="13"/>
  <c r="Y98" i="13"/>
  <c r="Y99" i="13"/>
  <c r="Y100" i="13"/>
  <c r="Y101" i="13"/>
  <c r="Y102" i="13"/>
  <c r="Y103" i="13"/>
  <c r="Y104" i="13"/>
  <c r="Y105" i="13"/>
  <c r="Y106" i="13"/>
  <c r="Y107" i="13"/>
  <c r="Y73" i="13"/>
  <c r="Y75" i="13"/>
  <c r="Y76" i="13"/>
  <c r="Y77" i="13"/>
  <c r="Y78" i="13"/>
  <c r="Y79" i="13"/>
  <c r="Y80" i="13"/>
  <c r="Y81" i="13"/>
  <c r="Y82" i="13"/>
  <c r="Y83" i="13"/>
  <c r="Y84" i="13"/>
  <c r="Y85" i="13"/>
  <c r="Y86" i="13"/>
  <c r="Y52" i="13"/>
  <c r="Y54" i="13"/>
  <c r="Y55" i="13"/>
  <c r="Y56" i="13"/>
  <c r="Y57" i="13"/>
  <c r="Y58" i="13"/>
  <c r="Y59" i="13"/>
  <c r="Y60" i="13"/>
  <c r="Y61" i="13"/>
  <c r="Y62" i="13"/>
  <c r="Y63" i="13"/>
  <c r="Y64" i="13"/>
  <c r="Y65" i="13"/>
  <c r="Y31" i="13"/>
  <c r="Y33" i="13"/>
  <c r="Y34" i="13"/>
  <c r="Y35" i="13"/>
  <c r="Y36" i="13"/>
  <c r="Y37" i="13"/>
  <c r="Y38" i="13"/>
  <c r="Y39" i="13"/>
  <c r="Y40" i="13"/>
  <c r="Y41" i="13"/>
  <c r="Y42" i="13"/>
  <c r="Y43" i="13"/>
  <c r="Y44" i="13"/>
  <c r="Y10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X94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73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52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31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10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W94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73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52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31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10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V94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73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52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31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10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U94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73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52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31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10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T94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73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52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31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10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S94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73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52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31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10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R94" i="13"/>
  <c r="R96" i="13"/>
  <c r="R97" i="13"/>
  <c r="R98" i="13"/>
  <c r="R99" i="13"/>
  <c r="R100" i="13"/>
  <c r="R101" i="13"/>
  <c r="R102" i="13"/>
  <c r="R103" i="13"/>
  <c r="R104" i="13"/>
  <c r="R105" i="13"/>
  <c r="R106" i="13"/>
  <c r="R107" i="13"/>
  <c r="R73" i="13"/>
  <c r="R75" i="13"/>
  <c r="R76" i="13"/>
  <c r="R77" i="13"/>
  <c r="R78" i="13"/>
  <c r="R79" i="13"/>
  <c r="R80" i="13"/>
  <c r="R81" i="13"/>
  <c r="R82" i="13"/>
  <c r="R83" i="13"/>
  <c r="R84" i="13"/>
  <c r="R85" i="13"/>
  <c r="R86" i="13"/>
  <c r="R52" i="13"/>
  <c r="R54" i="13"/>
  <c r="R55" i="13"/>
  <c r="R56" i="13"/>
  <c r="R57" i="13"/>
  <c r="R58" i="13"/>
  <c r="R59" i="13"/>
  <c r="R60" i="13"/>
  <c r="R61" i="13"/>
  <c r="R62" i="13"/>
  <c r="R63" i="13"/>
  <c r="R64" i="13"/>
  <c r="R65" i="13"/>
  <c r="R31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10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Q94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73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52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31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10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P94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73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52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31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10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O94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73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52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31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10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Z94" i="13"/>
  <c r="A29" i="13"/>
  <c r="A50" i="13" s="1"/>
  <c r="A71" i="13" s="1"/>
  <c r="A92" i="13" s="1"/>
  <c r="Z73" i="13"/>
  <c r="Z52" i="13"/>
  <c r="Z31" i="13"/>
  <c r="Z10" i="13"/>
  <c r="AV8" i="13"/>
  <c r="N28" i="12"/>
  <c r="N49" i="12" s="1"/>
  <c r="N70" i="12" s="1"/>
  <c r="N91" i="12" s="1"/>
  <c r="N114" i="12" s="1"/>
  <c r="N122" i="12" s="1"/>
  <c r="N130" i="12" s="1"/>
  <c r="M28" i="12"/>
  <c r="M49" i="12" s="1"/>
  <c r="M70" i="12" s="1"/>
  <c r="M91" i="12" s="1"/>
  <c r="M114" i="12" s="1"/>
  <c r="M122" i="12" s="1"/>
  <c r="M130" i="12" s="1"/>
  <c r="J28" i="12"/>
  <c r="J49" i="12" s="1"/>
  <c r="J70" i="12" s="1"/>
  <c r="J91" i="12" s="1"/>
  <c r="J114" i="12" s="1"/>
  <c r="J122" i="12" s="1"/>
  <c r="J130" i="12" s="1"/>
  <c r="I28" i="12"/>
  <c r="I49" i="12" s="1"/>
  <c r="I70" i="12" s="1"/>
  <c r="I91" i="12" s="1"/>
  <c r="I114" i="12" s="1"/>
  <c r="I122" i="12" s="1"/>
  <c r="I130" i="12" s="1"/>
  <c r="F28" i="12"/>
  <c r="F49" i="12" s="1"/>
  <c r="F70" i="12" s="1"/>
  <c r="F91" i="12" s="1"/>
  <c r="F114" i="12" s="1"/>
  <c r="F122" i="12" s="1"/>
  <c r="F130" i="12" s="1"/>
  <c r="E28" i="12"/>
  <c r="E49" i="12" s="1"/>
  <c r="E70" i="12" s="1"/>
  <c r="E91" i="12" s="1"/>
  <c r="E114" i="12" s="1"/>
  <c r="E122" i="12" s="1"/>
  <c r="E130" i="12" s="1"/>
  <c r="A149" i="12"/>
  <c r="A232" i="12" s="1"/>
  <c r="A137" i="12"/>
  <c r="A133" i="12"/>
  <c r="AJ107" i="12"/>
  <c r="AJ95" i="12" s="1"/>
  <c r="AJ108" i="12" s="1"/>
  <c r="AJ86" i="12"/>
  <c r="AJ74" i="12" s="1"/>
  <c r="AJ87" i="12" s="1"/>
  <c r="AJ65" i="12"/>
  <c r="AJ53" i="12" s="1"/>
  <c r="AJ44" i="12"/>
  <c r="AJ32" i="12" s="1"/>
  <c r="AJ23" i="12"/>
  <c r="AJ11" i="12" s="1"/>
  <c r="AI106" i="12"/>
  <c r="AI107" i="12"/>
  <c r="AI85" i="12"/>
  <c r="AI86" i="12"/>
  <c r="AI64" i="12"/>
  <c r="AI65" i="12"/>
  <c r="AI43" i="12"/>
  <c r="AI44" i="12"/>
  <c r="AI22" i="12"/>
  <c r="AI23" i="12"/>
  <c r="AH105" i="12"/>
  <c r="AH106" i="12"/>
  <c r="AH107" i="12"/>
  <c r="AH84" i="12"/>
  <c r="AH85" i="12"/>
  <c r="AH86" i="12"/>
  <c r="AH63" i="12"/>
  <c r="AH64" i="12"/>
  <c r="AH65" i="12"/>
  <c r="AH42" i="12"/>
  <c r="AH43" i="12"/>
  <c r="AH44" i="12"/>
  <c r="AH21" i="12"/>
  <c r="AH22" i="12"/>
  <c r="AH23" i="12"/>
  <c r="AG104" i="12"/>
  <c r="AG105" i="12"/>
  <c r="AG106" i="12"/>
  <c r="AG107" i="12"/>
  <c r="AG83" i="12"/>
  <c r="AG84" i="12"/>
  <c r="AG85" i="12"/>
  <c r="AG86" i="12"/>
  <c r="AG62" i="12"/>
  <c r="AG63" i="12"/>
  <c r="AG64" i="12"/>
  <c r="AG65" i="12"/>
  <c r="AG41" i="12"/>
  <c r="AG42" i="12"/>
  <c r="AG43" i="12"/>
  <c r="AG44" i="12"/>
  <c r="AG20" i="12"/>
  <c r="AG21" i="12"/>
  <c r="AG22" i="12"/>
  <c r="AG23" i="12"/>
  <c r="AF103" i="12"/>
  <c r="AF104" i="12"/>
  <c r="AF105" i="12"/>
  <c r="AF106" i="12"/>
  <c r="AF107" i="12"/>
  <c r="AF82" i="12"/>
  <c r="AF83" i="12"/>
  <c r="AF84" i="12"/>
  <c r="AF85" i="12"/>
  <c r="AF86" i="12"/>
  <c r="AF61" i="12"/>
  <c r="AF62" i="12"/>
  <c r="AF63" i="12"/>
  <c r="AF64" i="12"/>
  <c r="AF65" i="12"/>
  <c r="AF40" i="12"/>
  <c r="AF41" i="12"/>
  <c r="AF42" i="12"/>
  <c r="AF43" i="12"/>
  <c r="AF44" i="12"/>
  <c r="AF19" i="12"/>
  <c r="AF20" i="12"/>
  <c r="AF21" i="12"/>
  <c r="AF22" i="12"/>
  <c r="AF23" i="12"/>
  <c r="AE102" i="12"/>
  <c r="AE103" i="12"/>
  <c r="AE104" i="12"/>
  <c r="AE105" i="12"/>
  <c r="AE106" i="12"/>
  <c r="AE107" i="12"/>
  <c r="AE81" i="12"/>
  <c r="AE82" i="12"/>
  <c r="AE83" i="12"/>
  <c r="AE84" i="12"/>
  <c r="AE85" i="12"/>
  <c r="AE86" i="12"/>
  <c r="AE60" i="12"/>
  <c r="AE61" i="12"/>
  <c r="AE62" i="12"/>
  <c r="AE63" i="12"/>
  <c r="AE64" i="12"/>
  <c r="AE65" i="12"/>
  <c r="AE39" i="12"/>
  <c r="AE40" i="12"/>
  <c r="AE41" i="12"/>
  <c r="AE42" i="12"/>
  <c r="AE43" i="12"/>
  <c r="AE44" i="12"/>
  <c r="AE18" i="12"/>
  <c r="AE19" i="12"/>
  <c r="AE20" i="12"/>
  <c r="AE21" i="12"/>
  <c r="AE22" i="12"/>
  <c r="AE23" i="12"/>
  <c r="AD101" i="12"/>
  <c r="AD102" i="12"/>
  <c r="AD103" i="12"/>
  <c r="AD104" i="12"/>
  <c r="AD105" i="12"/>
  <c r="AD106" i="12"/>
  <c r="AD107" i="12"/>
  <c r="AD80" i="12"/>
  <c r="AD81" i="12"/>
  <c r="AD82" i="12"/>
  <c r="AD83" i="12"/>
  <c r="AD84" i="12"/>
  <c r="AD85" i="12"/>
  <c r="AD86" i="12"/>
  <c r="AD59" i="12"/>
  <c r="AD60" i="12"/>
  <c r="AD61" i="12"/>
  <c r="AD62" i="12"/>
  <c r="AD63" i="12"/>
  <c r="AD64" i="12"/>
  <c r="AD65" i="12"/>
  <c r="AD38" i="12"/>
  <c r="AD39" i="12"/>
  <c r="AD40" i="12"/>
  <c r="AD41" i="12"/>
  <c r="AD42" i="12"/>
  <c r="AD43" i="12"/>
  <c r="AD44" i="12"/>
  <c r="AD17" i="12"/>
  <c r="AD18" i="12"/>
  <c r="AD19" i="12"/>
  <c r="AD20" i="12"/>
  <c r="AD21" i="12"/>
  <c r="AD22" i="12"/>
  <c r="AD23" i="12"/>
  <c r="AC100" i="12"/>
  <c r="AC101" i="12"/>
  <c r="AC102" i="12"/>
  <c r="AC103" i="12"/>
  <c r="AC104" i="12"/>
  <c r="AC105" i="12"/>
  <c r="AC106" i="12"/>
  <c r="AC107" i="12"/>
  <c r="AC79" i="12"/>
  <c r="AC80" i="12"/>
  <c r="AC81" i="12"/>
  <c r="AC82" i="12"/>
  <c r="AC83" i="12"/>
  <c r="AC84" i="12"/>
  <c r="AC85" i="12"/>
  <c r="AC86" i="12"/>
  <c r="AC58" i="12"/>
  <c r="AC59" i="12"/>
  <c r="AC60" i="12"/>
  <c r="AC61" i="12"/>
  <c r="AC62" i="12"/>
  <c r="AC63" i="12"/>
  <c r="AC64" i="12"/>
  <c r="AC65" i="12"/>
  <c r="AC37" i="12"/>
  <c r="AC38" i="12"/>
  <c r="AC39" i="12"/>
  <c r="AC40" i="12"/>
  <c r="AC41" i="12"/>
  <c r="AC42" i="12"/>
  <c r="AC43" i="12"/>
  <c r="AC44" i="12"/>
  <c r="AC16" i="12"/>
  <c r="AC17" i="12"/>
  <c r="AC18" i="12"/>
  <c r="AC19" i="12"/>
  <c r="AC20" i="12"/>
  <c r="AC21" i="12"/>
  <c r="AC22" i="12"/>
  <c r="AC23" i="12"/>
  <c r="AB99" i="12"/>
  <c r="AB100" i="12"/>
  <c r="AB101" i="12"/>
  <c r="AB102" i="12"/>
  <c r="AB103" i="12"/>
  <c r="AB104" i="12"/>
  <c r="AB105" i="12"/>
  <c r="AB106" i="12"/>
  <c r="AB107" i="12"/>
  <c r="AB78" i="12"/>
  <c r="AB79" i="12"/>
  <c r="AB80" i="12"/>
  <c r="AB81" i="12"/>
  <c r="AB82" i="12"/>
  <c r="AB83" i="12"/>
  <c r="AB84" i="12"/>
  <c r="AB85" i="12"/>
  <c r="AB86" i="12"/>
  <c r="AB57" i="12"/>
  <c r="AB58" i="12"/>
  <c r="AB59" i="12"/>
  <c r="AB60" i="12"/>
  <c r="AB61" i="12"/>
  <c r="AB62" i="12"/>
  <c r="AB63" i="12"/>
  <c r="AB64" i="12"/>
  <c r="AB65" i="12"/>
  <c r="AB36" i="12"/>
  <c r="AB37" i="12"/>
  <c r="AB38" i="12"/>
  <c r="AB39" i="12"/>
  <c r="AB40" i="12"/>
  <c r="AB41" i="12"/>
  <c r="AB42" i="12"/>
  <c r="AB43" i="12"/>
  <c r="AB44" i="12"/>
  <c r="AB15" i="12"/>
  <c r="AB16" i="12"/>
  <c r="AB17" i="12"/>
  <c r="AB18" i="12"/>
  <c r="AB19" i="12"/>
  <c r="AB20" i="12"/>
  <c r="AB21" i="12"/>
  <c r="AB22" i="12"/>
  <c r="AB23" i="12"/>
  <c r="AA98" i="12"/>
  <c r="AA99" i="12"/>
  <c r="AA100" i="12"/>
  <c r="AA101" i="12"/>
  <c r="AA102" i="12"/>
  <c r="AA103" i="12"/>
  <c r="AA104" i="12"/>
  <c r="AA105" i="12"/>
  <c r="AA106" i="12"/>
  <c r="AA107" i="12"/>
  <c r="AA77" i="12"/>
  <c r="AA78" i="12"/>
  <c r="AA79" i="12"/>
  <c r="AA80" i="12"/>
  <c r="AA81" i="12"/>
  <c r="AA82" i="12"/>
  <c r="AA83" i="12"/>
  <c r="AA84" i="12"/>
  <c r="AA85" i="12"/>
  <c r="AA86" i="12"/>
  <c r="AA56" i="12"/>
  <c r="AA57" i="12"/>
  <c r="AA58" i="12"/>
  <c r="AA59" i="12"/>
  <c r="AA60" i="12"/>
  <c r="AA61" i="12"/>
  <c r="AA62" i="12"/>
  <c r="AA63" i="12"/>
  <c r="AA64" i="12"/>
  <c r="AA65" i="12"/>
  <c r="AA35" i="12"/>
  <c r="AA36" i="12"/>
  <c r="AA37" i="12"/>
  <c r="AA38" i="12"/>
  <c r="AA39" i="12"/>
  <c r="AA40" i="12"/>
  <c r="AA41" i="12"/>
  <c r="AA42" i="12"/>
  <c r="AA43" i="12"/>
  <c r="AA44" i="12"/>
  <c r="AA14" i="12"/>
  <c r="AA15" i="12"/>
  <c r="AA16" i="12"/>
  <c r="AA17" i="12"/>
  <c r="AA18" i="12"/>
  <c r="AA19" i="12"/>
  <c r="AA20" i="12"/>
  <c r="AA21" i="12"/>
  <c r="AA22" i="12"/>
  <c r="AA23" i="12"/>
  <c r="Z94" i="12"/>
  <c r="Z73" i="12"/>
  <c r="Z52" i="12"/>
  <c r="Z31" i="12"/>
  <c r="Z10" i="12"/>
  <c r="C41" i="1"/>
  <c r="C44" i="1" s="1"/>
  <c r="U1" i="9"/>
  <c r="V1" i="9"/>
  <c r="W1" i="9"/>
  <c r="X1" i="9"/>
  <c r="Y1" i="9"/>
  <c r="Z1" i="9"/>
  <c r="AA1" i="9"/>
  <c r="AB1" i="9"/>
  <c r="AC1" i="9"/>
  <c r="AD1" i="9"/>
  <c r="AE1" i="9"/>
  <c r="AF1" i="9"/>
  <c r="AG1" i="9"/>
  <c r="AH1" i="9"/>
  <c r="AI1" i="9"/>
  <c r="AJ1" i="9"/>
  <c r="AK1" i="9"/>
  <c r="AL1" i="9"/>
  <c r="AM1" i="9"/>
  <c r="AN1" i="9"/>
  <c r="AO1" i="9"/>
  <c r="AP1" i="9"/>
  <c r="AQ1" i="9"/>
  <c r="AR1" i="9"/>
  <c r="A134" i="3"/>
  <c r="G16" i="2"/>
  <c r="A146" i="3"/>
  <c r="A228" i="3" s="1"/>
  <c r="A145" i="3"/>
  <c r="A224" i="3" s="1"/>
  <c r="A144" i="3"/>
  <c r="A220" i="3" s="1"/>
  <c r="A143" i="3"/>
  <c r="A216" i="3" s="1"/>
  <c r="A142" i="3"/>
  <c r="A212" i="3" s="1"/>
  <c r="Z28" i="3"/>
  <c r="Z49" i="3"/>
  <c r="Z91" i="3"/>
  <c r="Z70" i="3"/>
  <c r="Z7" i="3"/>
  <c r="A26" i="3"/>
  <c r="A47" i="3" s="1"/>
  <c r="A68" i="3" s="1"/>
  <c r="A89" i="3" s="1"/>
  <c r="A130" i="3"/>
  <c r="D8" i="1"/>
  <c r="D6" i="1"/>
  <c r="F12" i="2" l="1"/>
  <c r="F13" i="2" s="1"/>
  <c r="E32" i="2"/>
  <c r="E30" i="2"/>
  <c r="C32" i="2"/>
  <c r="C138" i="3"/>
  <c r="E138" i="3"/>
  <c r="H138" i="3"/>
  <c r="I138" i="3"/>
  <c r="J138" i="3"/>
  <c r="F289" i="3"/>
  <c r="D289" i="3"/>
  <c r="C30" i="2"/>
  <c r="J28" i="13"/>
  <c r="J49" i="13" s="1"/>
  <c r="J70" i="13" s="1"/>
  <c r="J91" i="13" s="1"/>
  <c r="J114" i="13" s="1"/>
  <c r="J122" i="13" s="1"/>
  <c r="J130" i="13" s="1"/>
  <c r="J2" i="13"/>
  <c r="F28" i="13"/>
  <c r="F49" i="13" s="1"/>
  <c r="F70" i="13" s="1"/>
  <c r="F91" i="13" s="1"/>
  <c r="F114" i="13" s="1"/>
  <c r="F122" i="13" s="1"/>
  <c r="F130" i="13" s="1"/>
  <c r="N28" i="13"/>
  <c r="N49" i="13" s="1"/>
  <c r="N70" i="13" s="1"/>
  <c r="N91" i="13" s="1"/>
  <c r="N114" i="13" s="1"/>
  <c r="N122" i="13" s="1"/>
  <c r="N130" i="13" s="1"/>
  <c r="N132" i="13" s="1"/>
  <c r="N135" i="13" s="1"/>
  <c r="N2" i="13"/>
  <c r="E9" i="13"/>
  <c r="I28" i="13"/>
  <c r="I49" i="13" s="1"/>
  <c r="I70" i="13" s="1"/>
  <c r="I91" i="13" s="1"/>
  <c r="I114" i="13" s="1"/>
  <c r="I122" i="13" s="1"/>
  <c r="I130" i="13" s="1"/>
  <c r="E2" i="13"/>
  <c r="E28" i="13"/>
  <c r="E49" i="13" s="1"/>
  <c r="E70" i="13" s="1"/>
  <c r="E91" i="13" s="1"/>
  <c r="E114" i="13" s="1"/>
  <c r="E122" i="13" s="1"/>
  <c r="E130" i="13" s="1"/>
  <c r="M28" i="13"/>
  <c r="M49" i="13" s="1"/>
  <c r="M70" i="13" s="1"/>
  <c r="M91" i="13" s="1"/>
  <c r="M114" i="13" s="1"/>
  <c r="M122" i="13" s="1"/>
  <c r="M130" i="13" s="1"/>
  <c r="I2" i="13"/>
  <c r="K28" i="13"/>
  <c r="K49" i="13" s="1"/>
  <c r="K70" i="13" s="1"/>
  <c r="K91" i="13" s="1"/>
  <c r="K114" i="13" s="1"/>
  <c r="K122" i="13" s="1"/>
  <c r="K130" i="13" s="1"/>
  <c r="K138" i="13" s="1"/>
  <c r="D28" i="13"/>
  <c r="D49" i="13" s="1"/>
  <c r="D70" i="13" s="1"/>
  <c r="D91" i="13" s="1"/>
  <c r="D114" i="13" s="1"/>
  <c r="D122" i="13" s="1"/>
  <c r="D130" i="13" s="1"/>
  <c r="H28" i="13"/>
  <c r="H49" i="13" s="1"/>
  <c r="H70" i="13" s="1"/>
  <c r="H91" i="13" s="1"/>
  <c r="H114" i="13" s="1"/>
  <c r="H122" i="13" s="1"/>
  <c r="H130" i="13" s="1"/>
  <c r="L28" i="13"/>
  <c r="L49" i="13" s="1"/>
  <c r="L70" i="13" s="1"/>
  <c r="L91" i="13" s="1"/>
  <c r="L114" i="13" s="1"/>
  <c r="L122" i="13" s="1"/>
  <c r="L130" i="13" s="1"/>
  <c r="G28" i="13"/>
  <c r="G49" i="13" s="1"/>
  <c r="G70" i="13" s="1"/>
  <c r="G91" i="13" s="1"/>
  <c r="G114" i="13" s="1"/>
  <c r="G122" i="13" s="1"/>
  <c r="G130" i="13" s="1"/>
  <c r="G132" i="13" s="1"/>
  <c r="G135" i="13" s="1"/>
  <c r="M2" i="13"/>
  <c r="C72" i="13"/>
  <c r="G72" i="13"/>
  <c r="C2" i="13"/>
  <c r="K2" i="13"/>
  <c r="E72" i="13"/>
  <c r="I72" i="13"/>
  <c r="D72" i="13"/>
  <c r="D87" i="13" s="1"/>
  <c r="D89" i="13" s="1"/>
  <c r="D148" i="13" s="1"/>
  <c r="F72" i="13"/>
  <c r="G2" i="13"/>
  <c r="L2" i="13"/>
  <c r="K72" i="13"/>
  <c r="L72" i="13"/>
  <c r="F2" i="13"/>
  <c r="D290" i="13"/>
  <c r="H72" i="13"/>
  <c r="J72" i="13"/>
  <c r="M72" i="13"/>
  <c r="K93" i="12"/>
  <c r="G28" i="12"/>
  <c r="G49" i="12" s="1"/>
  <c r="G70" i="12" s="1"/>
  <c r="G91" i="12" s="1"/>
  <c r="G114" i="12" s="1"/>
  <c r="G122" i="12" s="1"/>
  <c r="G130" i="12" s="1"/>
  <c r="K28" i="12"/>
  <c r="K49" i="12" s="1"/>
  <c r="K70" i="12" s="1"/>
  <c r="K91" i="12" s="1"/>
  <c r="K114" i="12" s="1"/>
  <c r="K122" i="12" s="1"/>
  <c r="K130" i="12" s="1"/>
  <c r="K132" i="12" s="1"/>
  <c r="K135" i="12" s="1"/>
  <c r="C2" i="12"/>
  <c r="G2" i="12"/>
  <c r="C289" i="3"/>
  <c r="D4" i="3"/>
  <c r="D168" i="3" s="1"/>
  <c r="C287" i="3"/>
  <c r="C292" i="3" s="1"/>
  <c r="C31" i="2"/>
  <c r="E289" i="3"/>
  <c r="K135" i="3"/>
  <c r="D90" i="3"/>
  <c r="D25" i="3"/>
  <c r="D135" i="3"/>
  <c r="I25" i="3"/>
  <c r="E67" i="3"/>
  <c r="G88" i="3"/>
  <c r="E4" i="3"/>
  <c r="E168" i="3" s="1"/>
  <c r="L25" i="3"/>
  <c r="I88" i="3"/>
  <c r="I135" i="3"/>
  <c r="I129" i="3"/>
  <c r="I132" i="3" s="1"/>
  <c r="D46" i="3"/>
  <c r="D67" i="3"/>
  <c r="L88" i="3"/>
  <c r="L129" i="3"/>
  <c r="L132" i="3" s="1"/>
  <c r="K111" i="3"/>
  <c r="K119" i="3" s="1"/>
  <c r="G25" i="3"/>
  <c r="J88" i="3"/>
  <c r="G129" i="3"/>
  <c r="G132" i="3" s="1"/>
  <c r="M4" i="3"/>
  <c r="M168" i="3" s="1"/>
  <c r="D88" i="3"/>
  <c r="H4" i="3"/>
  <c r="H168" i="3" s="1"/>
  <c r="H46" i="3"/>
  <c r="E135" i="3"/>
  <c r="G4" i="3"/>
  <c r="G168" i="3" s="1"/>
  <c r="E46" i="3"/>
  <c r="G67" i="3"/>
  <c r="E88" i="3"/>
  <c r="G135" i="3"/>
  <c r="E111" i="3"/>
  <c r="E119" i="3" s="1"/>
  <c r="G111" i="3"/>
  <c r="G119" i="3" s="1"/>
  <c r="J46" i="3"/>
  <c r="J129" i="3"/>
  <c r="J132" i="3" s="1"/>
  <c r="G272" i="12"/>
  <c r="J25" i="3"/>
  <c r="J4" i="3"/>
  <c r="J168" i="3" s="1"/>
  <c r="E25" i="3"/>
  <c r="J67" i="3"/>
  <c r="J135" i="3"/>
  <c r="I4" i="3"/>
  <c r="I168" i="3" s="1"/>
  <c r="I46" i="3"/>
  <c r="L67" i="3"/>
  <c r="H88" i="3"/>
  <c r="L135" i="3"/>
  <c r="I111" i="3"/>
  <c r="I119" i="3" s="1"/>
  <c r="D28" i="3"/>
  <c r="H28" i="3"/>
  <c r="I28" i="3"/>
  <c r="N28" i="3"/>
  <c r="H67" i="3"/>
  <c r="C135" i="3"/>
  <c r="B262" i="13"/>
  <c r="C272" i="12"/>
  <c r="D291" i="3"/>
  <c r="L4" i="3"/>
  <c r="L168" i="3" s="1"/>
  <c r="L46" i="3"/>
  <c r="H25" i="3"/>
  <c r="N129" i="3"/>
  <c r="N132" i="3" s="1"/>
  <c r="K272" i="12"/>
  <c r="G291" i="3"/>
  <c r="D272" i="12"/>
  <c r="M46" i="3"/>
  <c r="M25" i="3"/>
  <c r="M67" i="3"/>
  <c r="M88" i="3"/>
  <c r="H135" i="3"/>
  <c r="C129" i="3"/>
  <c r="C132" i="3" s="1"/>
  <c r="F4" i="3"/>
  <c r="F168" i="3" s="1"/>
  <c r="N4" i="3"/>
  <c r="N168" i="3" s="1"/>
  <c r="F46" i="3"/>
  <c r="N46" i="3"/>
  <c r="F25" i="3"/>
  <c r="N25" i="3"/>
  <c r="F67" i="3"/>
  <c r="N67" i="3"/>
  <c r="F88" i="3"/>
  <c r="N88" i="3"/>
  <c r="M135" i="3"/>
  <c r="D129" i="3"/>
  <c r="D132" i="3" s="1"/>
  <c r="M129" i="3"/>
  <c r="M132" i="3" s="1"/>
  <c r="D28" i="12"/>
  <c r="D49" i="12" s="1"/>
  <c r="D70" i="12" s="1"/>
  <c r="D91" i="12" s="1"/>
  <c r="D114" i="12" s="1"/>
  <c r="D122" i="12" s="1"/>
  <c r="D130" i="12" s="1"/>
  <c r="D132" i="12" s="1"/>
  <c r="D135" i="12" s="1"/>
  <c r="H28" i="12"/>
  <c r="H49" i="12" s="1"/>
  <c r="H70" i="12" s="1"/>
  <c r="H91" i="12" s="1"/>
  <c r="H114" i="12" s="1"/>
  <c r="H122" i="12" s="1"/>
  <c r="H130" i="12" s="1"/>
  <c r="H132" i="12" s="1"/>
  <c r="H135" i="12" s="1"/>
  <c r="L28" i="12"/>
  <c r="L49" i="12" s="1"/>
  <c r="L70" i="12" s="1"/>
  <c r="L91" i="12" s="1"/>
  <c r="L114" i="12" s="1"/>
  <c r="L122" i="12" s="1"/>
  <c r="L130" i="12" s="1"/>
  <c r="C4" i="3"/>
  <c r="C168" i="3" s="1"/>
  <c r="K4" i="3"/>
  <c r="K168" i="3" s="1"/>
  <c r="C46" i="3"/>
  <c r="K46" i="3"/>
  <c r="C25" i="3"/>
  <c r="K25" i="3"/>
  <c r="C67" i="3"/>
  <c r="K67" i="3"/>
  <c r="C88" i="3"/>
  <c r="K88" i="3"/>
  <c r="F135" i="3"/>
  <c r="N135" i="3"/>
  <c r="H129" i="3"/>
  <c r="H132" i="3" s="1"/>
  <c r="F129" i="3"/>
  <c r="F132" i="3" s="1"/>
  <c r="D2" i="13"/>
  <c r="H2" i="13"/>
  <c r="D2" i="12"/>
  <c r="H2" i="12"/>
  <c r="L2" i="12"/>
  <c r="J51" i="12"/>
  <c r="E51" i="12"/>
  <c r="F51" i="12"/>
  <c r="G51" i="12"/>
  <c r="AA20" i="3"/>
  <c r="AA8" i="3" s="1"/>
  <c r="AA21" i="3" s="1"/>
  <c r="U14" i="3"/>
  <c r="T16" i="3"/>
  <c r="R20" i="3"/>
  <c r="O13" i="3"/>
  <c r="J9" i="3"/>
  <c r="N7" i="3"/>
  <c r="V18" i="3"/>
  <c r="S20" i="3"/>
  <c r="R12" i="3"/>
  <c r="Q16" i="3"/>
  <c r="P12" i="3"/>
  <c r="I7" i="3"/>
  <c r="M16" i="3"/>
  <c r="S12" i="3"/>
  <c r="K12" i="3"/>
  <c r="Z20" i="3"/>
  <c r="W20" i="3"/>
  <c r="R17" i="3"/>
  <c r="Q17" i="3"/>
  <c r="P15" i="3"/>
  <c r="I11" i="3"/>
  <c r="K11" i="3"/>
  <c r="V17" i="3"/>
  <c r="U19" i="3"/>
  <c r="T19" i="3"/>
  <c r="S17" i="3"/>
  <c r="O16" i="3"/>
  <c r="M15" i="3"/>
  <c r="X20" i="3"/>
  <c r="T15" i="3"/>
  <c r="R16" i="3"/>
  <c r="P11" i="3"/>
  <c r="L14" i="3"/>
  <c r="M12" i="3"/>
  <c r="Y19" i="3"/>
  <c r="W17" i="3"/>
  <c r="U18" i="3"/>
  <c r="S16" i="3"/>
  <c r="Q13" i="3"/>
  <c r="P19" i="3"/>
  <c r="O12" i="3"/>
  <c r="H7" i="3"/>
  <c r="Y18" i="3"/>
  <c r="X19" i="3"/>
  <c r="W16" i="3"/>
  <c r="U15" i="3"/>
  <c r="T20" i="3"/>
  <c r="S13" i="3"/>
  <c r="R13" i="3"/>
  <c r="Q20" i="3"/>
  <c r="Q12" i="3"/>
  <c r="P16" i="3"/>
  <c r="O17" i="3"/>
  <c r="J12" i="3"/>
  <c r="L13" i="3"/>
  <c r="N16" i="3"/>
  <c r="Z19" i="3"/>
  <c r="X18" i="3"/>
  <c r="W19" i="3"/>
  <c r="V20" i="3"/>
  <c r="V16" i="3"/>
  <c r="U17" i="3"/>
  <c r="T18" i="3"/>
  <c r="T14" i="3"/>
  <c r="S19" i="3"/>
  <c r="S15" i="3"/>
  <c r="R19" i="3"/>
  <c r="R15" i="3"/>
  <c r="R11" i="3"/>
  <c r="Q19" i="3"/>
  <c r="Q15" i="3"/>
  <c r="Q10" i="3"/>
  <c r="P18" i="3"/>
  <c r="P14" i="3"/>
  <c r="P7" i="3"/>
  <c r="O15" i="3"/>
  <c r="O10" i="3"/>
  <c r="J7" i="3"/>
  <c r="K14" i="3"/>
  <c r="K7" i="3"/>
  <c r="L12" i="3"/>
  <c r="M14" i="3"/>
  <c r="M7" i="3"/>
  <c r="N14" i="3"/>
  <c r="M9" i="3"/>
  <c r="N15" i="3"/>
  <c r="AV5" i="3"/>
  <c r="Y20" i="3"/>
  <c r="X17" i="3"/>
  <c r="W18" i="3"/>
  <c r="V19" i="3"/>
  <c r="V15" i="3"/>
  <c r="U20" i="3"/>
  <c r="U16" i="3"/>
  <c r="T17" i="3"/>
  <c r="T13" i="3"/>
  <c r="S18" i="3"/>
  <c r="S14" i="3"/>
  <c r="R18" i="3"/>
  <c r="R14" i="3"/>
  <c r="Q18" i="3"/>
  <c r="Q14" i="3"/>
  <c r="P17" i="3"/>
  <c r="P13" i="3"/>
  <c r="O18" i="3"/>
  <c r="O14" i="3"/>
  <c r="O7" i="3"/>
  <c r="E7" i="3"/>
  <c r="G9" i="3"/>
  <c r="I12" i="3"/>
  <c r="J13" i="3"/>
  <c r="K13" i="3"/>
  <c r="L15" i="3"/>
  <c r="L7" i="3"/>
  <c r="M13" i="3"/>
  <c r="N17" i="3"/>
  <c r="N13" i="3"/>
  <c r="S40" i="3"/>
  <c r="P40" i="3"/>
  <c r="F30" i="3"/>
  <c r="F29" i="3" s="1"/>
  <c r="J30" i="3"/>
  <c r="M28" i="3"/>
  <c r="N12" i="3"/>
  <c r="R40" i="3"/>
  <c r="Q40" i="3"/>
  <c r="O38" i="3"/>
  <c r="E28" i="3"/>
  <c r="H32" i="3"/>
  <c r="I30" i="3"/>
  <c r="P38" i="3"/>
  <c r="O28" i="3"/>
  <c r="J32" i="3"/>
  <c r="K32" i="3"/>
  <c r="L32" i="3"/>
  <c r="N38" i="3"/>
  <c r="K69" i="3"/>
  <c r="E48" i="3"/>
  <c r="P9" i="3"/>
  <c r="H9" i="3"/>
  <c r="K9" i="3"/>
  <c r="L10" i="3"/>
  <c r="F7" i="3"/>
  <c r="G10" i="3"/>
  <c r="H10" i="3"/>
  <c r="J11" i="3"/>
  <c r="N10" i="3"/>
  <c r="L48" i="3"/>
  <c r="L9" i="3"/>
  <c r="N11" i="3"/>
  <c r="E72" i="12"/>
  <c r="I72" i="12"/>
  <c r="H30" i="13"/>
  <c r="C72" i="12"/>
  <c r="C87" i="12" s="1"/>
  <c r="C89" i="12" s="1"/>
  <c r="C148" i="12" s="1"/>
  <c r="D51" i="12"/>
  <c r="D66" i="12" s="1"/>
  <c r="D68" i="12" s="1"/>
  <c r="D147" i="12" s="1"/>
  <c r="H51" i="12"/>
  <c r="K51" i="12"/>
  <c r="E74" i="12"/>
  <c r="E53" i="12"/>
  <c r="E66" i="12" s="1"/>
  <c r="E68" i="12" s="1"/>
  <c r="E147" i="12" s="1"/>
  <c r="E32" i="12"/>
  <c r="AI95" i="12"/>
  <c r="AI108" i="12" s="1"/>
  <c r="AH95" i="13"/>
  <c r="AH108" i="13" s="1"/>
  <c r="AH110" i="13" s="1"/>
  <c r="P10" i="3"/>
  <c r="O11" i="3"/>
  <c r="F9" i="3"/>
  <c r="F8" i="3" s="1"/>
  <c r="I9" i="3"/>
  <c r="K10" i="3"/>
  <c r="M11" i="3"/>
  <c r="D30" i="12"/>
  <c r="D45" i="12" s="1"/>
  <c r="D47" i="12" s="1"/>
  <c r="D146" i="12" s="1"/>
  <c r="E95" i="12"/>
  <c r="F93" i="12"/>
  <c r="G93" i="12"/>
  <c r="H93" i="12"/>
  <c r="I51" i="12"/>
  <c r="E30" i="13"/>
  <c r="K51" i="13"/>
  <c r="C30" i="13"/>
  <c r="C45" i="13" s="1"/>
  <c r="C47" i="13" s="1"/>
  <c r="C146" i="13" s="1"/>
  <c r="P95" i="12"/>
  <c r="P108" i="12" s="1"/>
  <c r="P110" i="12" s="1"/>
  <c r="G51" i="13"/>
  <c r="H51" i="13"/>
  <c r="T74" i="12"/>
  <c r="T87" i="12" s="1"/>
  <c r="AH71" i="3"/>
  <c r="AH84" i="3" s="1"/>
  <c r="AH86" i="3" s="1"/>
  <c r="C93" i="12"/>
  <c r="E93" i="12"/>
  <c r="I93" i="12"/>
  <c r="C51" i="13"/>
  <c r="C66" i="13" s="1"/>
  <c r="C68" i="13" s="1"/>
  <c r="C147" i="13" s="1"/>
  <c r="D51" i="13"/>
  <c r="D66" i="13" s="1"/>
  <c r="D68" i="13" s="1"/>
  <c r="D147" i="13" s="1"/>
  <c r="J51" i="13"/>
  <c r="Y71" i="3"/>
  <c r="Y84" i="3" s="1"/>
  <c r="D69" i="3"/>
  <c r="D84" i="3" s="1"/>
  <c r="D86" i="3" s="1"/>
  <c r="D145" i="3" s="1"/>
  <c r="D93" i="12"/>
  <c r="D108" i="12" s="1"/>
  <c r="D110" i="12" s="1"/>
  <c r="D149" i="12" s="1"/>
  <c r="D9" i="13"/>
  <c r="F30" i="13"/>
  <c r="G30" i="13"/>
  <c r="H9" i="13"/>
  <c r="J9" i="13"/>
  <c r="K9" i="13"/>
  <c r="L9" i="13"/>
  <c r="W74" i="13"/>
  <c r="W87" i="13" s="1"/>
  <c r="W89" i="13" s="1"/>
  <c r="H90" i="3"/>
  <c r="F95" i="13"/>
  <c r="N11" i="13"/>
  <c r="N24" i="13" s="1"/>
  <c r="N26" i="13" s="1"/>
  <c r="N145" i="13" s="1"/>
  <c r="AH95" i="12"/>
  <c r="AH108" i="12" s="1"/>
  <c r="AH110" i="12" s="1"/>
  <c r="C27" i="3"/>
  <c r="C42" i="3" s="1"/>
  <c r="C44" i="3" s="1"/>
  <c r="G72" i="12"/>
  <c r="E93" i="13"/>
  <c r="E51" i="13"/>
  <c r="L51" i="13"/>
  <c r="M51" i="13"/>
  <c r="Q11" i="3"/>
  <c r="O9" i="3"/>
  <c r="G7" i="3"/>
  <c r="H11" i="3"/>
  <c r="I10" i="3"/>
  <c r="J10" i="3"/>
  <c r="L11" i="3"/>
  <c r="M10" i="3"/>
  <c r="N9" i="3"/>
  <c r="C108" i="12"/>
  <c r="H72" i="12"/>
  <c r="K72" i="12"/>
  <c r="L51" i="12"/>
  <c r="F51" i="13"/>
  <c r="I51" i="13"/>
  <c r="W32" i="13"/>
  <c r="W45" i="13" s="1"/>
  <c r="W47" i="13" s="1"/>
  <c r="G74" i="13"/>
  <c r="G87" i="13" s="1"/>
  <c r="O74" i="13"/>
  <c r="O87" i="13" s="1"/>
  <c r="AI32" i="13"/>
  <c r="AI45" i="13" s="1"/>
  <c r="AI47" i="13" s="1"/>
  <c r="AI74" i="13"/>
  <c r="AI87" i="13" s="1"/>
  <c r="AI89" i="13" s="1"/>
  <c r="D30" i="13"/>
  <c r="D45" i="13" s="1"/>
  <c r="D47" i="13" s="1"/>
  <c r="D146" i="13" s="1"/>
  <c r="F11" i="13"/>
  <c r="F24" i="13" s="1"/>
  <c r="F26" i="13" s="1"/>
  <c r="F145" i="13" s="1"/>
  <c r="J30" i="13"/>
  <c r="K30" i="13"/>
  <c r="M32" i="13"/>
  <c r="M45" i="13" s="1"/>
  <c r="M47" i="13" s="1"/>
  <c r="M146" i="13" s="1"/>
  <c r="N53" i="13"/>
  <c r="N66" i="13" s="1"/>
  <c r="N68" i="13" s="1"/>
  <c r="N147" i="13" s="1"/>
  <c r="AA32" i="13"/>
  <c r="H74" i="13"/>
  <c r="H87" i="13" s="1"/>
  <c r="L95" i="13"/>
  <c r="AG11" i="13"/>
  <c r="AG24" i="13" s="1"/>
  <c r="AG26" i="13" s="1"/>
  <c r="AH53" i="13"/>
  <c r="E95" i="13"/>
  <c r="E74" i="13"/>
  <c r="E87" i="13" s="1"/>
  <c r="I30" i="13"/>
  <c r="J53" i="13"/>
  <c r="J66" i="13" s="1"/>
  <c r="L30" i="13"/>
  <c r="AG74" i="12"/>
  <c r="AG87" i="12" s="1"/>
  <c r="H95" i="12"/>
  <c r="I74" i="12"/>
  <c r="AI32" i="12"/>
  <c r="AI45" i="12" s="1"/>
  <c r="AI74" i="12"/>
  <c r="AI87" i="12" s="1"/>
  <c r="AI89" i="12" s="1"/>
  <c r="S74" i="13"/>
  <c r="S87" i="13" s="1"/>
  <c r="S89" i="13" s="1"/>
  <c r="W95" i="13"/>
  <c r="W108" i="13" s="1"/>
  <c r="W110" i="13" s="1"/>
  <c r="AD74" i="13"/>
  <c r="AD87" i="13" s="1"/>
  <c r="AD89" i="13" s="1"/>
  <c r="Z74" i="12"/>
  <c r="Z87" i="12" s="1"/>
  <c r="V95" i="12"/>
  <c r="V108" i="12" s="1"/>
  <c r="V110" i="12" s="1"/>
  <c r="P74" i="12"/>
  <c r="L92" i="3"/>
  <c r="I95" i="13"/>
  <c r="K74" i="13"/>
  <c r="M95" i="13"/>
  <c r="M74" i="13"/>
  <c r="M87" i="13" s="1"/>
  <c r="M89" i="13" s="1"/>
  <c r="M148" i="13" s="1"/>
  <c r="AV22" i="13"/>
  <c r="AV14" i="13"/>
  <c r="Q32" i="13"/>
  <c r="Q45" i="13" s="1"/>
  <c r="Q47" i="13" s="1"/>
  <c r="W53" i="13"/>
  <c r="W66" i="13" s="1"/>
  <c r="W68" i="13" s="1"/>
  <c r="AD32" i="13"/>
  <c r="AD45" i="13" s="1"/>
  <c r="AD47" i="13" s="1"/>
  <c r="AH11" i="13"/>
  <c r="AI53" i="13"/>
  <c r="AI66" i="13" s="1"/>
  <c r="AI68" i="13" s="1"/>
  <c r="AI95" i="13"/>
  <c r="AI108" i="13" s="1"/>
  <c r="AI110" i="13" s="1"/>
  <c r="V74" i="12"/>
  <c r="V87" i="12" s="1"/>
  <c r="V89" i="12" s="1"/>
  <c r="Q95" i="12"/>
  <c r="Q108" i="12" s="1"/>
  <c r="Q110" i="12" s="1"/>
  <c r="C48" i="3"/>
  <c r="C63" i="3" s="1"/>
  <c r="C65" i="3" s="1"/>
  <c r="C144" i="3" s="1"/>
  <c r="G48" i="3"/>
  <c r="D87" i="12"/>
  <c r="D89" i="12" s="1"/>
  <c r="D148" i="12" s="1"/>
  <c r="F30" i="12"/>
  <c r="G30" i="12"/>
  <c r="J30" i="12"/>
  <c r="K30" i="12"/>
  <c r="L30" i="12"/>
  <c r="M51" i="12"/>
  <c r="M30" i="12"/>
  <c r="F74" i="13"/>
  <c r="F87" i="13" s="1"/>
  <c r="F89" i="13" s="1"/>
  <c r="F148" i="13" s="1"/>
  <c r="G93" i="13"/>
  <c r="H93" i="13"/>
  <c r="H32" i="13"/>
  <c r="M11" i="13"/>
  <c r="N95" i="13"/>
  <c r="N108" i="13" s="1"/>
  <c r="AF74" i="12"/>
  <c r="AF87" i="12" s="1"/>
  <c r="O11" i="13"/>
  <c r="O24" i="13" s="1"/>
  <c r="O95" i="13"/>
  <c r="O108" i="13" s="1"/>
  <c r="S11" i="13"/>
  <c r="S24" i="13" s="1"/>
  <c r="S26" i="13" s="1"/>
  <c r="S32" i="13"/>
  <c r="S45" i="13" s="1"/>
  <c r="S47" i="13" s="1"/>
  <c r="S95" i="13"/>
  <c r="S108" i="13" s="1"/>
  <c r="S110" i="13" s="1"/>
  <c r="W11" i="13"/>
  <c r="W24" i="13" s="1"/>
  <c r="W26" i="13" s="1"/>
  <c r="AC53" i="13"/>
  <c r="AC66" i="13" s="1"/>
  <c r="AC68" i="13" s="1"/>
  <c r="AG95" i="13"/>
  <c r="AG108" i="13" s="1"/>
  <c r="AG110" i="13" s="1"/>
  <c r="Q74" i="12"/>
  <c r="I48" i="3"/>
  <c r="E30" i="12"/>
  <c r="I95" i="12"/>
  <c r="I30" i="12"/>
  <c r="E53" i="13"/>
  <c r="F93" i="13"/>
  <c r="G95" i="13"/>
  <c r="G11" i="13"/>
  <c r="G24" i="13" s="1"/>
  <c r="G26" i="13" s="1"/>
  <c r="G145" i="13" s="1"/>
  <c r="I93" i="13"/>
  <c r="K93" i="13"/>
  <c r="L93" i="13"/>
  <c r="L11" i="13"/>
  <c r="M93" i="13"/>
  <c r="AF95" i="12"/>
  <c r="AF108" i="12" s="1"/>
  <c r="S53" i="13"/>
  <c r="S66" i="13" s="1"/>
  <c r="S68" i="13" s="1"/>
  <c r="AE32" i="12"/>
  <c r="AE45" i="12" s="1"/>
  <c r="AE47" i="12" s="1"/>
  <c r="AE95" i="12"/>
  <c r="AE108" i="12" s="1"/>
  <c r="AG95" i="12"/>
  <c r="AG108" i="12" s="1"/>
  <c r="AG110" i="12" s="1"/>
  <c r="Q53" i="13"/>
  <c r="Q66" i="13" s="1"/>
  <c r="AV16" i="13"/>
  <c r="Z74" i="13"/>
  <c r="Z87" i="13" s="1"/>
  <c r="Z89" i="13" s="1"/>
  <c r="AE74" i="13"/>
  <c r="AE87" i="13" s="1"/>
  <c r="AE89" i="13" s="1"/>
  <c r="S74" i="12"/>
  <c r="S87" i="12" s="1"/>
  <c r="C30" i="12"/>
  <c r="C45" i="12" s="1"/>
  <c r="C47" i="12" s="1"/>
  <c r="C146" i="12" s="1"/>
  <c r="F74" i="12"/>
  <c r="F87" i="12" s="1"/>
  <c r="F89" i="12" s="1"/>
  <c r="F148" i="12" s="1"/>
  <c r="H30" i="12"/>
  <c r="C93" i="13"/>
  <c r="D93" i="13"/>
  <c r="D108" i="13" s="1"/>
  <c r="D110" i="13" s="1"/>
  <c r="D149" i="13" s="1"/>
  <c r="J93" i="13"/>
  <c r="K32" i="13"/>
  <c r="M53" i="13"/>
  <c r="AB95" i="12"/>
  <c r="AB108" i="12" s="1"/>
  <c r="AB110" i="12" s="1"/>
  <c r="AA74" i="12"/>
  <c r="AA87" i="12" s="1"/>
  <c r="AA89" i="12" s="1"/>
  <c r="AH74" i="12"/>
  <c r="AH87" i="12" s="1"/>
  <c r="AH89" i="12" s="1"/>
  <c r="AV17" i="13"/>
  <c r="AV18" i="13"/>
  <c r="U11" i="13"/>
  <c r="U24" i="13" s="1"/>
  <c r="U26" i="13" s="1"/>
  <c r="AB74" i="12"/>
  <c r="AB87" i="12" s="1"/>
  <c r="AB89" i="12" s="1"/>
  <c r="AD74" i="12"/>
  <c r="AD87" i="12" s="1"/>
  <c r="AD89" i="12" s="1"/>
  <c r="AF53" i="12"/>
  <c r="AF66" i="12" s="1"/>
  <c r="AF68" i="12" s="1"/>
  <c r="AV19" i="13"/>
  <c r="AV15" i="13"/>
  <c r="Q74" i="13"/>
  <c r="Q87" i="13" s="1"/>
  <c r="Q89" i="13" s="1"/>
  <c r="R32" i="13"/>
  <c r="R45" i="13" s="1"/>
  <c r="R47" i="13" s="1"/>
  <c r="T53" i="13"/>
  <c r="T66" i="13" s="1"/>
  <c r="U53" i="13"/>
  <c r="U66" i="13" s="1"/>
  <c r="U68" i="13" s="1"/>
  <c r="V11" i="13"/>
  <c r="V95" i="13"/>
  <c r="V108" i="13" s="1"/>
  <c r="V110" i="13" s="1"/>
  <c r="X32" i="13"/>
  <c r="X45" i="13" s="1"/>
  <c r="Y32" i="13"/>
  <c r="Y45" i="13" s="1"/>
  <c r="Y47" i="13" s="1"/>
  <c r="Z32" i="13"/>
  <c r="AA11" i="13"/>
  <c r="AA24" i="13" s="1"/>
  <c r="AA26" i="13" s="1"/>
  <c r="AA74" i="13"/>
  <c r="AA87" i="13" s="1"/>
  <c r="AB32" i="13"/>
  <c r="AB45" i="13" s="1"/>
  <c r="AB47" i="13" s="1"/>
  <c r="AD95" i="13"/>
  <c r="AD108" i="13" s="1"/>
  <c r="AD110" i="13" s="1"/>
  <c r="AF74" i="13"/>
  <c r="AF87" i="13" s="1"/>
  <c r="AF89" i="13" s="1"/>
  <c r="AG53" i="13"/>
  <c r="AG66" i="13" s="1"/>
  <c r="AG68" i="13" s="1"/>
  <c r="AH74" i="13"/>
  <c r="AH87" i="13" s="1"/>
  <c r="AH89" i="13" s="1"/>
  <c r="AH92" i="3"/>
  <c r="AH105" i="3" s="1"/>
  <c r="AD92" i="3"/>
  <c r="AD105" i="3" s="1"/>
  <c r="AD107" i="3" s="1"/>
  <c r="O92" i="3"/>
  <c r="O105" i="3" s="1"/>
  <c r="K92" i="3"/>
  <c r="F95" i="12"/>
  <c r="J95" i="12"/>
  <c r="J108" i="12" s="1"/>
  <c r="L74" i="12"/>
  <c r="L72" i="12"/>
  <c r="M93" i="12"/>
  <c r="M72" i="12"/>
  <c r="C87" i="13"/>
  <c r="C89" i="13" s="1"/>
  <c r="C148" i="13" s="1"/>
  <c r="C24" i="13"/>
  <c r="C26" i="13" s="1"/>
  <c r="C145" i="13" s="1"/>
  <c r="G32" i="13"/>
  <c r="I74" i="13"/>
  <c r="I53" i="13"/>
  <c r="I66" i="13" s="1"/>
  <c r="I68" i="13" s="1"/>
  <c r="I147" i="13" s="1"/>
  <c r="I32" i="13"/>
  <c r="I45" i="13" s="1"/>
  <c r="I47" i="13" s="1"/>
  <c r="I146" i="13" s="1"/>
  <c r="I11" i="13"/>
  <c r="I24" i="13" s="1"/>
  <c r="I26" i="13" s="1"/>
  <c r="I145" i="13" s="1"/>
  <c r="K53" i="13"/>
  <c r="N74" i="13"/>
  <c r="N87" i="13" s="1"/>
  <c r="N89" i="13" s="1"/>
  <c r="N148" i="13" s="1"/>
  <c r="Q95" i="13"/>
  <c r="Q108" i="13" s="1"/>
  <c r="Q110" i="13" s="1"/>
  <c r="T74" i="13"/>
  <c r="T87" i="13" s="1"/>
  <c r="U74" i="13"/>
  <c r="U87" i="13" s="1"/>
  <c r="V32" i="13"/>
  <c r="V45" i="13" s="1"/>
  <c r="V47" i="13" s="1"/>
  <c r="X53" i="13"/>
  <c r="X66" i="13" s="1"/>
  <c r="Y53" i="13"/>
  <c r="Y66" i="13" s="1"/>
  <c r="Y68" i="13" s="1"/>
  <c r="Z11" i="13"/>
  <c r="Z24" i="13" s="1"/>
  <c r="Z26" i="13" s="1"/>
  <c r="Z53" i="13"/>
  <c r="Z66" i="13" s="1"/>
  <c r="Z68" i="13" s="1"/>
  <c r="AA53" i="13"/>
  <c r="AA66" i="13" s="1"/>
  <c r="AA68" i="13" s="1"/>
  <c r="AA95" i="13"/>
  <c r="AA108" i="13" s="1"/>
  <c r="AA110" i="13" s="1"/>
  <c r="AB53" i="13"/>
  <c r="AB66" i="13" s="1"/>
  <c r="AB68" i="13" s="1"/>
  <c r="AC11" i="13"/>
  <c r="AC24" i="13" s="1"/>
  <c r="AC26" i="13" s="1"/>
  <c r="AD53" i="13"/>
  <c r="AE32" i="13"/>
  <c r="AE45" i="13" s="1"/>
  <c r="AE47" i="13" s="1"/>
  <c r="AF11" i="13"/>
  <c r="AF24" i="13" s="1"/>
  <c r="AF26" i="13" s="1"/>
  <c r="AF95" i="13"/>
  <c r="AF108" i="13" s="1"/>
  <c r="AF110" i="13" s="1"/>
  <c r="AG32" i="13"/>
  <c r="AG45" i="13" s="1"/>
  <c r="AG47" i="13" s="1"/>
  <c r="AG74" i="13"/>
  <c r="AG87" i="13" s="1"/>
  <c r="AG89" i="13" s="1"/>
  <c r="AH32" i="13"/>
  <c r="AH45" i="13" s="1"/>
  <c r="AH47" i="13" s="1"/>
  <c r="O74" i="12"/>
  <c r="O87" i="12" s="1"/>
  <c r="O89" i="12" s="1"/>
  <c r="U71" i="3"/>
  <c r="U84" i="3" s="1"/>
  <c r="U86" i="3" s="1"/>
  <c r="N69" i="3"/>
  <c r="G74" i="12"/>
  <c r="J74" i="12"/>
  <c r="J87" i="12" s="1"/>
  <c r="J89" i="12" s="1"/>
  <c r="J148" i="12" s="1"/>
  <c r="L95" i="12"/>
  <c r="L108" i="12" s="1"/>
  <c r="L110" i="12" s="1"/>
  <c r="L149" i="12" s="1"/>
  <c r="F53" i="13"/>
  <c r="F32" i="13"/>
  <c r="H95" i="13"/>
  <c r="H11" i="13"/>
  <c r="J95" i="13"/>
  <c r="J74" i="13"/>
  <c r="K11" i="13"/>
  <c r="O32" i="13"/>
  <c r="O45" i="13" s="1"/>
  <c r="O47" i="13" s="1"/>
  <c r="Q11" i="13"/>
  <c r="Q24" i="13" s="1"/>
  <c r="Q26" i="13" s="1"/>
  <c r="U95" i="13"/>
  <c r="U108" i="13" s="1"/>
  <c r="U110" i="13" s="1"/>
  <c r="Y74" i="13"/>
  <c r="Y87" i="13" s="1"/>
  <c r="Y89" i="13" s="1"/>
  <c r="Z95" i="13"/>
  <c r="Z108" i="13" s="1"/>
  <c r="Z110" i="13" s="1"/>
  <c r="AB74" i="13"/>
  <c r="AB87" i="13" s="1"/>
  <c r="AB89" i="13" s="1"/>
  <c r="AC32" i="13"/>
  <c r="AC45" i="13" s="1"/>
  <c r="AC47" i="13" s="1"/>
  <c r="AC95" i="13"/>
  <c r="AC108" i="13" s="1"/>
  <c r="AC110" i="13" s="1"/>
  <c r="AD11" i="13"/>
  <c r="AD24" i="13" s="1"/>
  <c r="AD26" i="13" s="1"/>
  <c r="AE11" i="13"/>
  <c r="AE24" i="13" s="1"/>
  <c r="AE26" i="13" s="1"/>
  <c r="AE53" i="13"/>
  <c r="AE66" i="13" s="1"/>
  <c r="AE68" i="13" s="1"/>
  <c r="AF32" i="13"/>
  <c r="AF45" i="13" s="1"/>
  <c r="AF47" i="13" s="1"/>
  <c r="O95" i="12"/>
  <c r="O108" i="12" s="1"/>
  <c r="O110" i="12" s="1"/>
  <c r="Y92" i="3"/>
  <c r="Y105" i="3" s="1"/>
  <c r="Y107" i="3" s="1"/>
  <c r="U92" i="3"/>
  <c r="U105" i="3" s="1"/>
  <c r="U107" i="3" s="1"/>
  <c r="H74" i="12"/>
  <c r="K74" i="12"/>
  <c r="M95" i="12"/>
  <c r="N95" i="12"/>
  <c r="N108" i="12" s="1"/>
  <c r="E32" i="13"/>
  <c r="E45" i="13" s="1"/>
  <c r="E11" i="13"/>
  <c r="E24" i="13" s="1"/>
  <c r="J32" i="13"/>
  <c r="J11" i="13"/>
  <c r="L74" i="13"/>
  <c r="L87" i="13" s="1"/>
  <c r="L89" i="13" s="1"/>
  <c r="L148" i="13" s="1"/>
  <c r="L53" i="13"/>
  <c r="L66" i="13" s="1"/>
  <c r="L68" i="13" s="1"/>
  <c r="L147" i="13" s="1"/>
  <c r="L32" i="13"/>
  <c r="AC74" i="12"/>
  <c r="T11" i="13"/>
  <c r="T24" i="13" s="1"/>
  <c r="T95" i="13"/>
  <c r="T108" i="13" s="1"/>
  <c r="T110" i="13" s="1"/>
  <c r="V24" i="13"/>
  <c r="V26" i="13" s="1"/>
  <c r="V53" i="13"/>
  <c r="V66" i="13" s="1"/>
  <c r="V68" i="13" s="1"/>
  <c r="X74" i="13"/>
  <c r="X87" i="13" s="1"/>
  <c r="AA95" i="12"/>
  <c r="AA108" i="12" s="1"/>
  <c r="AA110" i="12" s="1"/>
  <c r="AC95" i="12"/>
  <c r="AC108" i="12" s="1"/>
  <c r="AC110" i="12" s="1"/>
  <c r="AD95" i="12"/>
  <c r="AD108" i="12" s="1"/>
  <c r="AD110" i="12" s="1"/>
  <c r="AE74" i="12"/>
  <c r="AE87" i="12" s="1"/>
  <c r="AE89" i="12" s="1"/>
  <c r="AI53" i="12"/>
  <c r="AI66" i="12" s="1"/>
  <c r="AV20" i="13"/>
  <c r="AV12" i="13"/>
  <c r="O53" i="13"/>
  <c r="O66" i="13" s="1"/>
  <c r="O68" i="13" s="1"/>
  <c r="R95" i="13"/>
  <c r="T32" i="13"/>
  <c r="T45" i="13" s="1"/>
  <c r="U32" i="13"/>
  <c r="U45" i="13" s="1"/>
  <c r="U47" i="13" s="1"/>
  <c r="V74" i="13"/>
  <c r="X11" i="13"/>
  <c r="X24" i="13" s="1"/>
  <c r="X95" i="13"/>
  <c r="X108" i="13" s="1"/>
  <c r="Y11" i="13"/>
  <c r="Y24" i="13" s="1"/>
  <c r="Y26" i="13" s="1"/>
  <c r="Y95" i="13"/>
  <c r="Y108" i="13" s="1"/>
  <c r="Y110" i="13" s="1"/>
  <c r="AB11" i="13"/>
  <c r="AB24" i="13" s="1"/>
  <c r="AB26" i="13" s="1"/>
  <c r="AB95" i="13"/>
  <c r="AB108" i="13" s="1"/>
  <c r="AB110" i="13" s="1"/>
  <c r="AC74" i="13"/>
  <c r="AC87" i="13" s="1"/>
  <c r="AC89" i="13" s="1"/>
  <c r="AE95" i="13"/>
  <c r="AE108" i="13" s="1"/>
  <c r="AE110" i="13" s="1"/>
  <c r="AF53" i="13"/>
  <c r="AF66" i="13" s="1"/>
  <c r="AF68" i="13" s="1"/>
  <c r="AI11" i="13"/>
  <c r="AI24" i="13" s="1"/>
  <c r="AI26" i="13" s="1"/>
  <c r="S95" i="12"/>
  <c r="S108" i="12" s="1"/>
  <c r="AE71" i="3"/>
  <c r="AE84" i="3" s="1"/>
  <c r="AE86" i="3" s="1"/>
  <c r="O71" i="3"/>
  <c r="O84" i="3" s="1"/>
  <c r="E92" i="3"/>
  <c r="F71" i="3"/>
  <c r="F69" i="3"/>
  <c r="H92" i="3"/>
  <c r="H105" i="3" s="1"/>
  <c r="I69" i="3"/>
  <c r="G95" i="12"/>
  <c r="K95" i="12"/>
  <c r="K108" i="12" s="1"/>
  <c r="K110" i="12" s="1"/>
  <c r="K149" i="12" s="1"/>
  <c r="M74" i="12"/>
  <c r="G53" i="13"/>
  <c r="G66" i="13" s="1"/>
  <c r="G68" i="13" s="1"/>
  <c r="G147" i="13" s="1"/>
  <c r="H53" i="13"/>
  <c r="H66" i="13" s="1"/>
  <c r="H68" i="13" s="1"/>
  <c r="H147" i="13" s="1"/>
  <c r="K95" i="13"/>
  <c r="N32" i="13"/>
  <c r="N45" i="13" s="1"/>
  <c r="AE92" i="3"/>
  <c r="AE105" i="3" s="1"/>
  <c r="AE107" i="3" s="1"/>
  <c r="AA92" i="3"/>
  <c r="AA105" i="3" s="1"/>
  <c r="Z92" i="3"/>
  <c r="Z105" i="3" s="1"/>
  <c r="X92" i="3"/>
  <c r="X105" i="3" s="1"/>
  <c r="W92" i="3"/>
  <c r="W105" i="3" s="1"/>
  <c r="W107" i="3" s="1"/>
  <c r="C90" i="3"/>
  <c r="F90" i="3"/>
  <c r="G92" i="3"/>
  <c r="I90" i="3"/>
  <c r="J90" i="3"/>
  <c r="K90" i="3"/>
  <c r="M90" i="3"/>
  <c r="N92" i="3"/>
  <c r="N105" i="3" s="1"/>
  <c r="N107" i="3" s="1"/>
  <c r="N146" i="3" s="1"/>
  <c r="AB92" i="3"/>
  <c r="AB105" i="3" s="1"/>
  <c r="T92" i="3"/>
  <c r="T105" i="3" s="1"/>
  <c r="T107" i="3" s="1"/>
  <c r="S92" i="3"/>
  <c r="S105" i="3" s="1"/>
  <c r="S107" i="3" s="1"/>
  <c r="R92" i="3"/>
  <c r="R105" i="3" s="1"/>
  <c r="R107" i="3" s="1"/>
  <c r="P92" i="3"/>
  <c r="P105" i="3" s="1"/>
  <c r="P107" i="3" s="1"/>
  <c r="E90" i="3"/>
  <c r="G90" i="3"/>
  <c r="Q92" i="3"/>
  <c r="Q105" i="3" s="1"/>
  <c r="Q107" i="3" s="1"/>
  <c r="C105" i="3"/>
  <c r="C107" i="3" s="1"/>
  <c r="C146" i="3" s="1"/>
  <c r="V92" i="3"/>
  <c r="V105" i="3" s="1"/>
  <c r="D105" i="3"/>
  <c r="D107" i="3" s="1"/>
  <c r="D146" i="3" s="1"/>
  <c r="I92" i="3"/>
  <c r="J92" i="3"/>
  <c r="L90" i="3"/>
  <c r="M92" i="3"/>
  <c r="M105" i="3" s="1"/>
  <c r="AC71" i="3"/>
  <c r="AC84" i="3" s="1"/>
  <c r="H71" i="3"/>
  <c r="J71" i="3"/>
  <c r="X71" i="3"/>
  <c r="X84" i="3" s="1"/>
  <c r="W71" i="3"/>
  <c r="W84" i="3" s="1"/>
  <c r="W86" i="3" s="1"/>
  <c r="Q71" i="3"/>
  <c r="Q84" i="3" s="1"/>
  <c r="Q86" i="3" s="1"/>
  <c r="E71" i="3"/>
  <c r="K71" i="3"/>
  <c r="L71" i="3"/>
  <c r="M71" i="3"/>
  <c r="M84" i="3" s="1"/>
  <c r="M86" i="3" s="1"/>
  <c r="M145" i="3" s="1"/>
  <c r="N71" i="3"/>
  <c r="AI71" i="3"/>
  <c r="AI84" i="3" s="1"/>
  <c r="AB71" i="3"/>
  <c r="AB84" i="3" s="1"/>
  <c r="Z71" i="3"/>
  <c r="Z84" i="3" s="1"/>
  <c r="Z86" i="3" s="1"/>
  <c r="G69" i="3"/>
  <c r="H69" i="3"/>
  <c r="J69" i="3"/>
  <c r="AA71" i="3"/>
  <c r="AA84" i="3" s="1"/>
  <c r="V71" i="3"/>
  <c r="V84" i="3" s="1"/>
  <c r="T71" i="3"/>
  <c r="T84" i="3" s="1"/>
  <c r="T86" i="3" s="1"/>
  <c r="S71" i="3"/>
  <c r="S84" i="3" s="1"/>
  <c r="S86" i="3" s="1"/>
  <c r="R71" i="3"/>
  <c r="R84" i="3" s="1"/>
  <c r="P71" i="3"/>
  <c r="P84" i="3" s="1"/>
  <c r="C69" i="3"/>
  <c r="C84" i="3" s="1"/>
  <c r="E69" i="3"/>
  <c r="G71" i="3"/>
  <c r="I71" i="3"/>
  <c r="L69" i="3"/>
  <c r="C45" i="1"/>
  <c r="E6" i="3"/>
  <c r="G6" i="3"/>
  <c r="L6" i="3"/>
  <c r="J6" i="3"/>
  <c r="D6" i="3"/>
  <c r="D21" i="3" s="1"/>
  <c r="D23" i="3" s="1"/>
  <c r="D142" i="3" s="1"/>
  <c r="C43" i="1"/>
  <c r="C21" i="3"/>
  <c r="C23" i="3" s="1"/>
  <c r="C142" i="3" s="1"/>
  <c r="I6" i="3"/>
  <c r="K6" i="3"/>
  <c r="F6" i="3"/>
  <c r="H6" i="3"/>
  <c r="M6" i="3"/>
  <c r="E132" i="12"/>
  <c r="E135" i="12" s="1"/>
  <c r="E138" i="12"/>
  <c r="I132" i="12"/>
  <c r="I135" i="12" s="1"/>
  <c r="I138" i="12"/>
  <c r="M132" i="12"/>
  <c r="M135" i="12" s="1"/>
  <c r="M138" i="12"/>
  <c r="G132" i="12"/>
  <c r="G135" i="12" s="1"/>
  <c r="G138" i="12"/>
  <c r="AC87" i="12"/>
  <c r="AC89" i="12" s="1"/>
  <c r="D138" i="12"/>
  <c r="F132" i="12"/>
  <c r="F135" i="12" s="1"/>
  <c r="F138" i="12"/>
  <c r="J132" i="12"/>
  <c r="J135" i="12" s="1"/>
  <c r="J138" i="12"/>
  <c r="L132" i="12"/>
  <c r="L135" i="12" s="1"/>
  <c r="L138" i="12"/>
  <c r="N132" i="12"/>
  <c r="N135" i="12" s="1"/>
  <c r="N138" i="12"/>
  <c r="AC32" i="12"/>
  <c r="AC45" i="12" s="1"/>
  <c r="AC47" i="12" s="1"/>
  <c r="AV10" i="13"/>
  <c r="P32" i="13"/>
  <c r="P45" i="13" s="1"/>
  <c r="P47" i="13" s="1"/>
  <c r="P74" i="13"/>
  <c r="P87" i="13" s="1"/>
  <c r="R11" i="13"/>
  <c r="R24" i="13" s="1"/>
  <c r="AJ66" i="13"/>
  <c r="AJ68" i="13" s="1"/>
  <c r="D132" i="13"/>
  <c r="D135" i="13" s="1"/>
  <c r="D138" i="13"/>
  <c r="H132" i="13"/>
  <c r="H135" i="13" s="1"/>
  <c r="H138" i="13"/>
  <c r="L132" i="13"/>
  <c r="L135" i="13" s="1"/>
  <c r="L138" i="13"/>
  <c r="Z45" i="13"/>
  <c r="Z47" i="13" s="1"/>
  <c r="AJ87" i="13"/>
  <c r="AJ89" i="13" s="1"/>
  <c r="E132" i="13"/>
  <c r="E135" i="13" s="1"/>
  <c r="E138" i="13"/>
  <c r="I132" i="13"/>
  <c r="I135" i="13" s="1"/>
  <c r="I138" i="13"/>
  <c r="M132" i="13"/>
  <c r="M135" i="13" s="1"/>
  <c r="M138" i="13"/>
  <c r="C132" i="13"/>
  <c r="C135" i="13" s="1"/>
  <c r="C138" i="13"/>
  <c r="AG89" i="12"/>
  <c r="AH11" i="12"/>
  <c r="AH24" i="12" s="1"/>
  <c r="AH26" i="12" s="1"/>
  <c r="AJ89" i="12"/>
  <c r="AJ110" i="12"/>
  <c r="AV21" i="13"/>
  <c r="P11" i="13"/>
  <c r="P24" i="13" s="1"/>
  <c r="AV13" i="13"/>
  <c r="P53" i="13"/>
  <c r="P66" i="13" s="1"/>
  <c r="P95" i="13"/>
  <c r="P108" i="13" s="1"/>
  <c r="R53" i="13"/>
  <c r="R66" i="13" s="1"/>
  <c r="AD66" i="13"/>
  <c r="AD68" i="13" s="1"/>
  <c r="AJ24" i="13"/>
  <c r="AJ26" i="13" s="1"/>
  <c r="AJ108" i="13"/>
  <c r="AJ110" i="13" s="1"/>
  <c r="F132" i="13"/>
  <c r="F135" i="13" s="1"/>
  <c r="F138" i="13"/>
  <c r="J132" i="13"/>
  <c r="J135" i="13" s="1"/>
  <c r="J138" i="13"/>
  <c r="G286" i="13"/>
  <c r="F290" i="13"/>
  <c r="AG11" i="12"/>
  <c r="AG24" i="12" s="1"/>
  <c r="AG26" i="12" s="1"/>
  <c r="R74" i="13"/>
  <c r="R87" i="13" s="1"/>
  <c r="R89" i="13" s="1"/>
  <c r="AJ45" i="13"/>
  <c r="AJ47" i="13" s="1"/>
  <c r="K132" i="13"/>
  <c r="K135" i="13" s="1"/>
  <c r="F287" i="12"/>
  <c r="E291" i="12"/>
  <c r="E296" i="12" s="1"/>
  <c r="AA45" i="13"/>
  <c r="AA47" i="13" s="1"/>
  <c r="AH24" i="13"/>
  <c r="AH26" i="13" s="1"/>
  <c r="AH66" i="13"/>
  <c r="AH68" i="13" s="1"/>
  <c r="D30" i="2"/>
  <c r="Z95" i="12"/>
  <c r="E290" i="13"/>
  <c r="T95" i="12"/>
  <c r="T108" i="12" s="1"/>
  <c r="Y74" i="12"/>
  <c r="Y87" i="12" s="1"/>
  <c r="D291" i="12"/>
  <c r="C290" i="13"/>
  <c r="E31" i="2"/>
  <c r="E13" i="2"/>
  <c r="C31" i="1"/>
  <c r="C29" i="1"/>
  <c r="C28" i="1"/>
  <c r="E272" i="12"/>
  <c r="I272" i="12"/>
  <c r="M272" i="12"/>
  <c r="B263" i="13"/>
  <c r="Y95" i="12"/>
  <c r="AF92" i="3"/>
  <c r="N272" i="12"/>
  <c r="J272" i="12"/>
  <c r="F272" i="12"/>
  <c r="G10" i="2"/>
  <c r="G11" i="2" s="1"/>
  <c r="G12" i="2" s="1"/>
  <c r="C291" i="12"/>
  <c r="C296" i="12" s="1"/>
  <c r="A286" i="13"/>
  <c r="X95" i="12"/>
  <c r="W74" i="12"/>
  <c r="W87" i="12" s="1"/>
  <c r="AG71" i="3"/>
  <c r="T11" i="12"/>
  <c r="T24" i="12" s="1"/>
  <c r="R74" i="12"/>
  <c r="AD71" i="3"/>
  <c r="Q87" i="12"/>
  <c r="Q89" i="12" s="1"/>
  <c r="AC92" i="3"/>
  <c r="C294" i="3"/>
  <c r="X74" i="12"/>
  <c r="X87" i="12" s="1"/>
  <c r="AJ107" i="3"/>
  <c r="U95" i="12"/>
  <c r="AF71" i="3"/>
  <c r="Q11" i="12"/>
  <c r="Q24" i="12" s="1"/>
  <c r="AC50" i="3"/>
  <c r="AC63" i="3" s="1"/>
  <c r="M285" i="12"/>
  <c r="N285" i="12"/>
  <c r="J285" i="12"/>
  <c r="E285" i="12"/>
  <c r="L285" i="12"/>
  <c r="K285" i="12"/>
  <c r="D285" i="12"/>
  <c r="C285" i="12"/>
  <c r="I285" i="12"/>
  <c r="F285" i="12"/>
  <c r="H285" i="12"/>
  <c r="G285" i="12"/>
  <c r="B261" i="13"/>
  <c r="N259" i="12"/>
  <c r="L259" i="12"/>
  <c r="K259" i="12"/>
  <c r="D259" i="12"/>
  <c r="C259" i="12"/>
  <c r="I259" i="12"/>
  <c r="F259" i="12"/>
  <c r="M259" i="12"/>
  <c r="H259" i="12"/>
  <c r="G259" i="12"/>
  <c r="J259" i="12"/>
  <c r="E259" i="12"/>
  <c r="L272" i="12"/>
  <c r="H272" i="12"/>
  <c r="L141" i="12"/>
  <c r="H141" i="12"/>
  <c r="D141" i="12"/>
  <c r="K141" i="12"/>
  <c r="G141" i="12"/>
  <c r="C141" i="12"/>
  <c r="N141" i="12"/>
  <c r="J141" i="12"/>
  <c r="F141" i="12"/>
  <c r="M141" i="12"/>
  <c r="I141" i="12"/>
  <c r="E141" i="12"/>
  <c r="AJ86" i="3"/>
  <c r="W95" i="12"/>
  <c r="W108" i="12" s="1"/>
  <c r="AI92" i="3"/>
  <c r="AH50" i="3"/>
  <c r="AH63" i="3" s="1"/>
  <c r="AH65" i="3" s="1"/>
  <c r="U74" i="12"/>
  <c r="AG92" i="3"/>
  <c r="S11" i="12"/>
  <c r="S24" i="12" s="1"/>
  <c r="S26" i="12" s="1"/>
  <c r="R95" i="12"/>
  <c r="AD50" i="3"/>
  <c r="AD63" i="3" s="1"/>
  <c r="C28" i="12"/>
  <c r="C49" i="12" s="1"/>
  <c r="C70" i="12" s="1"/>
  <c r="C91" i="12" s="1"/>
  <c r="C114" i="12" s="1"/>
  <c r="C122" i="12" s="1"/>
  <c r="C130" i="12" s="1"/>
  <c r="C291" i="3"/>
  <c r="F291" i="3"/>
  <c r="G289" i="3"/>
  <c r="L291" i="3"/>
  <c r="AI50" i="3"/>
  <c r="AI63" i="3" s="1"/>
  <c r="AI65" i="3" s="1"/>
  <c r="AI29" i="3"/>
  <c r="AI42" i="3" s="1"/>
  <c r="AI44" i="3" s="1"/>
  <c r="AH8" i="3"/>
  <c r="AH21" i="3" s="1"/>
  <c r="U53" i="12"/>
  <c r="U66" i="12" s="1"/>
  <c r="U68" i="12" s="1"/>
  <c r="AG50" i="3"/>
  <c r="AG63" i="3" s="1"/>
  <c r="AG65" i="3" s="1"/>
  <c r="D283" i="3"/>
  <c r="E291" i="3"/>
  <c r="W50" i="3"/>
  <c r="W63" i="3" s="1"/>
  <c r="W65" i="3" s="1"/>
  <c r="S50" i="3"/>
  <c r="S63" i="3" s="1"/>
  <c r="S65" i="3" s="1"/>
  <c r="O50" i="3"/>
  <c r="O63" i="3" s="1"/>
  <c r="O65" i="3" s="1"/>
  <c r="E50" i="3"/>
  <c r="J289" i="3"/>
  <c r="K291" i="3"/>
  <c r="Q53" i="12"/>
  <c r="Q66" i="12" s="1"/>
  <c r="Q68" i="12" s="1"/>
  <c r="I289" i="3"/>
  <c r="I291" i="3"/>
  <c r="M289" i="3"/>
  <c r="M291" i="3"/>
  <c r="F92" i="3"/>
  <c r="H289" i="3"/>
  <c r="N289" i="3"/>
  <c r="H291" i="3"/>
  <c r="J291" i="3"/>
  <c r="K289" i="3"/>
  <c r="L289" i="3"/>
  <c r="N291" i="3"/>
  <c r="L258" i="13"/>
  <c r="G258" i="13"/>
  <c r="D258" i="13"/>
  <c r="M258" i="13"/>
  <c r="F258" i="13"/>
  <c r="E258" i="13"/>
  <c r="N258" i="13"/>
  <c r="K258" i="13"/>
  <c r="H258" i="13"/>
  <c r="C258" i="13"/>
  <c r="J258" i="13"/>
  <c r="I258" i="13"/>
  <c r="K11" i="12"/>
  <c r="J11" i="12"/>
  <c r="N74" i="12"/>
  <c r="N87" i="12" s="1"/>
  <c r="C66" i="12"/>
  <c r="C68" i="12" s="1"/>
  <c r="C147" i="12" s="1"/>
  <c r="D24" i="13"/>
  <c r="D26" i="13" s="1"/>
  <c r="D145" i="13" s="1"/>
  <c r="J284" i="13"/>
  <c r="I284" i="13"/>
  <c r="N284" i="13"/>
  <c r="L284" i="13"/>
  <c r="G284" i="13"/>
  <c r="D284" i="13"/>
  <c r="M284" i="13"/>
  <c r="F284" i="13"/>
  <c r="E284" i="13"/>
  <c r="K284" i="13"/>
  <c r="H284" i="13"/>
  <c r="C284" i="13"/>
  <c r="M24" i="13"/>
  <c r="M26" i="13" s="1"/>
  <c r="M145" i="13" s="1"/>
  <c r="B11" i="1"/>
  <c r="H9" i="1" s="1"/>
  <c r="AJ24" i="12"/>
  <c r="AJ26" i="12" s="1"/>
  <c r="X11" i="12"/>
  <c r="X24" i="12" s="1"/>
  <c r="U11" i="12"/>
  <c r="G9" i="12"/>
  <c r="AA53" i="12"/>
  <c r="AA66" i="12" s="1"/>
  <c r="AA68" i="12" s="1"/>
  <c r="AC11" i="12"/>
  <c r="AC24" i="12" s="1"/>
  <c r="R11" i="12"/>
  <c r="AV20" i="12"/>
  <c r="D9" i="12"/>
  <c r="D24" i="12" s="1"/>
  <c r="F53" i="12"/>
  <c r="G11" i="12"/>
  <c r="L11" i="12"/>
  <c r="L9" i="12"/>
  <c r="M11" i="12"/>
  <c r="N11" i="12"/>
  <c r="N24" i="12" s="1"/>
  <c r="N26" i="12" s="1"/>
  <c r="Y53" i="12"/>
  <c r="Y66" i="12" s="1"/>
  <c r="Y68" i="12" s="1"/>
  <c r="AV8" i="12"/>
  <c r="AV19" i="12"/>
  <c r="AV15" i="12"/>
  <c r="G32" i="12"/>
  <c r="H32" i="12"/>
  <c r="AV17" i="12"/>
  <c r="AA32" i="12"/>
  <c r="AA45" i="12" s="1"/>
  <c r="AA47" i="12" s="1"/>
  <c r="AE53" i="12"/>
  <c r="AE66" i="12" s="1"/>
  <c r="AE68" i="12" s="1"/>
  <c r="O32" i="12"/>
  <c r="O45" i="12" s="1"/>
  <c r="O47" i="12" s="1"/>
  <c r="AB53" i="12"/>
  <c r="AB66" i="12" s="1"/>
  <c r="AB68" i="12" s="1"/>
  <c r="AG32" i="12"/>
  <c r="AG45" i="12" s="1"/>
  <c r="AG47" i="12" s="1"/>
  <c r="AG53" i="12"/>
  <c r="AG66" i="12" s="1"/>
  <c r="Y32" i="12"/>
  <c r="Y45" i="12" s="1"/>
  <c r="Y47" i="12" s="1"/>
  <c r="W32" i="12"/>
  <c r="W45" i="12" s="1"/>
  <c r="U32" i="12"/>
  <c r="U45" i="12" s="1"/>
  <c r="U47" i="12" s="1"/>
  <c r="S32" i="12"/>
  <c r="S45" i="12" s="1"/>
  <c r="S47" i="12" s="1"/>
  <c r="Q32" i="12"/>
  <c r="Q45" i="12" s="1"/>
  <c r="Q47" i="12" s="1"/>
  <c r="P53" i="12"/>
  <c r="E29" i="3"/>
  <c r="J27" i="3"/>
  <c r="K27" i="3"/>
  <c r="M27" i="3"/>
  <c r="Z53" i="12"/>
  <c r="Z66" i="12" s="1"/>
  <c r="Z68" i="12" s="1"/>
  <c r="R53" i="12"/>
  <c r="R66" i="12" s="1"/>
  <c r="AB32" i="12"/>
  <c r="AB45" i="12" s="1"/>
  <c r="AB47" i="12" s="1"/>
  <c r="AC53" i="12"/>
  <c r="AC66" i="12" s="1"/>
  <c r="AC68" i="12" s="1"/>
  <c r="AD32" i="12"/>
  <c r="AD45" i="12" s="1"/>
  <c r="AD47" i="12" s="1"/>
  <c r="AD53" i="12"/>
  <c r="AD66" i="12" s="1"/>
  <c r="AD68" i="12" s="1"/>
  <c r="AF32" i="12"/>
  <c r="AF45" i="12" s="1"/>
  <c r="AF47" i="12" s="1"/>
  <c r="AH53" i="12"/>
  <c r="AH66" i="12" s="1"/>
  <c r="AH68" i="12" s="1"/>
  <c r="X53" i="12"/>
  <c r="X66" i="12" s="1"/>
  <c r="X68" i="12" s="1"/>
  <c r="T53" i="12"/>
  <c r="T66" i="12" s="1"/>
  <c r="T68" i="12" s="1"/>
  <c r="O53" i="12"/>
  <c r="O66" i="12" s="1"/>
  <c r="O68" i="12" s="1"/>
  <c r="D27" i="3"/>
  <c r="E27" i="3"/>
  <c r="I27" i="3"/>
  <c r="G53" i="12"/>
  <c r="H53" i="12"/>
  <c r="I53" i="12"/>
  <c r="J53" i="12"/>
  <c r="J66" i="12" s="1"/>
  <c r="J68" i="12" s="1"/>
  <c r="J147" i="12" s="1"/>
  <c r="K53" i="12"/>
  <c r="L53" i="12"/>
  <c r="M53" i="12"/>
  <c r="N53" i="12"/>
  <c r="N66" i="12" s="1"/>
  <c r="N32" i="12"/>
  <c r="N45" i="12" s="1"/>
  <c r="N47" i="12" s="1"/>
  <c r="N146" i="12" s="1"/>
  <c r="V53" i="12"/>
  <c r="V66" i="12" s="1"/>
  <c r="V68" i="12" s="1"/>
  <c r="AH32" i="12"/>
  <c r="AH45" i="12" s="1"/>
  <c r="AH47" i="12" s="1"/>
  <c r="Z32" i="12"/>
  <c r="X32" i="12"/>
  <c r="X45" i="12" s="1"/>
  <c r="X47" i="12" s="1"/>
  <c r="W53" i="12"/>
  <c r="W66" i="12" s="1"/>
  <c r="V32" i="12"/>
  <c r="V45" i="12" s="1"/>
  <c r="V47" i="12" s="1"/>
  <c r="AG29" i="3"/>
  <c r="AG42" i="3" s="1"/>
  <c r="T32" i="12"/>
  <c r="T45" i="12" s="1"/>
  <c r="T47" i="12" s="1"/>
  <c r="S53" i="12"/>
  <c r="S66" i="12" s="1"/>
  <c r="S68" i="12" s="1"/>
  <c r="R32" i="12"/>
  <c r="R45" i="12" s="1"/>
  <c r="P32" i="12"/>
  <c r="P45" i="12" s="1"/>
  <c r="P47" i="12" s="1"/>
  <c r="H27" i="3"/>
  <c r="L27" i="3"/>
  <c r="F32" i="12"/>
  <c r="I32" i="12"/>
  <c r="J32" i="12"/>
  <c r="K32" i="12"/>
  <c r="K45" i="12" s="1"/>
  <c r="K47" i="12" s="1"/>
  <c r="K146" i="12" s="1"/>
  <c r="L32" i="12"/>
  <c r="M32" i="12"/>
  <c r="M45" i="12" s="1"/>
  <c r="M47" i="12" s="1"/>
  <c r="M146" i="12" s="1"/>
  <c r="AJ66" i="12"/>
  <c r="AJ68" i="12" s="1"/>
  <c r="C37" i="1"/>
  <c r="AJ45" i="12"/>
  <c r="AJ47" i="12" s="1"/>
  <c r="C38" i="1"/>
  <c r="C35" i="1"/>
  <c r="AD11" i="12"/>
  <c r="P11" i="12"/>
  <c r="O11" i="12"/>
  <c r="AV13" i="12"/>
  <c r="F11" i="12"/>
  <c r="AA11" i="12"/>
  <c r="AB11" i="12"/>
  <c r="AE11" i="12"/>
  <c r="AF11" i="12"/>
  <c r="AI11" i="12"/>
  <c r="Z11" i="12"/>
  <c r="W11" i="12"/>
  <c r="V11" i="12"/>
  <c r="AV10" i="12"/>
  <c r="E11" i="12"/>
  <c r="AV22" i="12"/>
  <c r="Y11" i="12"/>
  <c r="R24" i="12"/>
  <c r="R26" i="12" s="1"/>
  <c r="AV14" i="12"/>
  <c r="AV16" i="12"/>
  <c r="H11" i="12"/>
  <c r="AV12" i="12"/>
  <c r="I11" i="12"/>
  <c r="AV18" i="12"/>
  <c r="AV21" i="12"/>
  <c r="C9" i="12"/>
  <c r="H9" i="12"/>
  <c r="K9" i="12"/>
  <c r="I9" i="12"/>
  <c r="J9" i="12"/>
  <c r="E9" i="12"/>
  <c r="F9" i="12"/>
  <c r="M9" i="12"/>
  <c r="AJ63" i="3"/>
  <c r="AJ65" i="3" s="1"/>
  <c r="AB50" i="3"/>
  <c r="Y50" i="3"/>
  <c r="Y63" i="3" s="1"/>
  <c r="X50" i="3"/>
  <c r="X63" i="3" s="1"/>
  <c r="X65" i="3" s="1"/>
  <c r="V50" i="3"/>
  <c r="V63" i="3" s="1"/>
  <c r="V65" i="3" s="1"/>
  <c r="H50" i="3"/>
  <c r="J50" i="3"/>
  <c r="N48" i="3"/>
  <c r="C42" i="1"/>
  <c r="U50" i="3"/>
  <c r="U63" i="3" s="1"/>
  <c r="T50" i="3"/>
  <c r="T63" i="3" s="1"/>
  <c r="T65" i="3" s="1"/>
  <c r="R50" i="3"/>
  <c r="R63" i="3" s="1"/>
  <c r="R65" i="3" s="1"/>
  <c r="G50" i="3"/>
  <c r="L50" i="3"/>
  <c r="M50" i="3"/>
  <c r="N50" i="3"/>
  <c r="AF50" i="3"/>
  <c r="AF63" i="3" s="1"/>
  <c r="AA50" i="3"/>
  <c r="AA63" i="3" s="1"/>
  <c r="AA65" i="3" s="1"/>
  <c r="Z50" i="3"/>
  <c r="Z63" i="3" s="1"/>
  <c r="Z65" i="3" s="1"/>
  <c r="Q50" i="3"/>
  <c r="Q63" i="3" s="1"/>
  <c r="Q65" i="3" s="1"/>
  <c r="P50" i="3"/>
  <c r="P63" i="3" s="1"/>
  <c r="P65" i="3" s="1"/>
  <c r="F50" i="3"/>
  <c r="K50" i="3"/>
  <c r="K63" i="3" s="1"/>
  <c r="AE50" i="3"/>
  <c r="I50" i="3"/>
  <c r="D48" i="3"/>
  <c r="H48" i="3"/>
  <c r="M48" i="3"/>
  <c r="F48" i="3"/>
  <c r="J48" i="3"/>
  <c r="AJ42" i="3"/>
  <c r="AJ44" i="3" s="1"/>
  <c r="AE29" i="3"/>
  <c r="AE42" i="3" s="1"/>
  <c r="AE44" i="3" s="1"/>
  <c r="AD29" i="3"/>
  <c r="AD42" i="3" s="1"/>
  <c r="AF29" i="3"/>
  <c r="AF42" i="3" s="1"/>
  <c r="AH29" i="3"/>
  <c r="AH42" i="3" s="1"/>
  <c r="AH44" i="3" s="1"/>
  <c r="AJ21" i="3"/>
  <c r="AJ23" i="3" s="1"/>
  <c r="AI8" i="3"/>
  <c r="AI21" i="3" s="1"/>
  <c r="AI23" i="3" s="1"/>
  <c r="AC8" i="3"/>
  <c r="AC21" i="3" s="1"/>
  <c r="AC23" i="3" s="1"/>
  <c r="E8" i="3"/>
  <c r="AG8" i="3"/>
  <c r="AG21" i="3" s="1"/>
  <c r="AG23" i="3" s="1"/>
  <c r="AE8" i="3"/>
  <c r="AE21" i="3" s="1"/>
  <c r="AE23" i="3" s="1"/>
  <c r="AD8" i="3"/>
  <c r="AD21" i="3" s="1"/>
  <c r="AD23" i="3" s="1"/>
  <c r="AB8" i="3"/>
  <c r="AB21" i="3" s="1"/>
  <c r="AB23" i="3" s="1"/>
  <c r="AF8" i="3"/>
  <c r="AF21" i="3" s="1"/>
  <c r="AF23" i="3" s="1"/>
  <c r="H10" i="1" l="1"/>
  <c r="H7" i="1"/>
  <c r="H8" i="1"/>
  <c r="N138" i="13"/>
  <c r="J24" i="13"/>
  <c r="J26" i="13" s="1"/>
  <c r="J145" i="13" s="1"/>
  <c r="J87" i="13"/>
  <c r="J89" i="13" s="1"/>
  <c r="J148" i="13" s="1"/>
  <c r="K66" i="13"/>
  <c r="K68" i="13" s="1"/>
  <c r="K147" i="13" s="1"/>
  <c r="I87" i="13"/>
  <c r="I89" i="13" s="1"/>
  <c r="I148" i="13" s="1"/>
  <c r="H45" i="13"/>
  <c r="H47" i="13" s="1"/>
  <c r="H146" i="13" s="1"/>
  <c r="L45" i="13"/>
  <c r="L47" i="13" s="1"/>
  <c r="L146" i="13" s="1"/>
  <c r="G138" i="13"/>
  <c r="K87" i="13"/>
  <c r="K138" i="12"/>
  <c r="E298" i="12"/>
  <c r="T110" i="12"/>
  <c r="H138" i="12"/>
  <c r="C298" i="12"/>
  <c r="S89" i="12"/>
  <c r="H87" i="12"/>
  <c r="H89" i="12" s="1"/>
  <c r="H148" i="12" s="1"/>
  <c r="F108" i="12"/>
  <c r="F110" i="12" s="1"/>
  <c r="F149" i="12" s="1"/>
  <c r="H66" i="12"/>
  <c r="H68" i="12" s="1"/>
  <c r="H147" i="12" s="1"/>
  <c r="G108" i="12"/>
  <c r="E108" i="12"/>
  <c r="E110" i="12" s="1"/>
  <c r="E149" i="12" s="1"/>
  <c r="M108" i="12"/>
  <c r="M110" i="12" s="1"/>
  <c r="M149" i="12" s="1"/>
  <c r="D42" i="3"/>
  <c r="D44" i="3" s="1"/>
  <c r="D143" i="3" s="1"/>
  <c r="L84" i="3"/>
  <c r="L86" i="3" s="1"/>
  <c r="L145" i="3" s="1"/>
  <c r="K84" i="3"/>
  <c r="K86" i="3" s="1"/>
  <c r="K145" i="3" s="1"/>
  <c r="C293" i="12"/>
  <c r="I63" i="3"/>
  <c r="I65" i="3" s="1"/>
  <c r="I144" i="3" s="1"/>
  <c r="E293" i="12"/>
  <c r="AD65" i="3"/>
  <c r="E63" i="3"/>
  <c r="E65" i="3" s="1"/>
  <c r="E144" i="3" s="1"/>
  <c r="H107" i="3"/>
  <c r="H146" i="3" s="1"/>
  <c r="C86" i="3"/>
  <c r="C145" i="3" s="1"/>
  <c r="Y86" i="3"/>
  <c r="G293" i="12"/>
  <c r="I293" i="12"/>
  <c r="L295" i="12"/>
  <c r="C300" i="3"/>
  <c r="H293" i="12"/>
  <c r="N293" i="12"/>
  <c r="M295" i="12"/>
  <c r="D295" i="12"/>
  <c r="J295" i="12"/>
  <c r="F293" i="12"/>
  <c r="K293" i="12"/>
  <c r="Z8" i="3"/>
  <c r="Z21" i="3" s="1"/>
  <c r="Z23" i="3" s="1"/>
  <c r="C110" i="12"/>
  <c r="C149" i="12" s="1"/>
  <c r="X8" i="3"/>
  <c r="X21" i="3" s="1"/>
  <c r="G66" i="12"/>
  <c r="G68" i="12" s="1"/>
  <c r="G147" i="12" s="1"/>
  <c r="F66" i="12"/>
  <c r="F68" i="12" s="1"/>
  <c r="F147" i="12" s="1"/>
  <c r="AV12" i="3"/>
  <c r="AV18" i="3"/>
  <c r="S8" i="3"/>
  <c r="S21" i="3" s="1"/>
  <c r="S23" i="3" s="1"/>
  <c r="AV16" i="3"/>
  <c r="Y8" i="3"/>
  <c r="Y21" i="3" s="1"/>
  <c r="U8" i="3"/>
  <c r="U21" i="3" s="1"/>
  <c r="U23" i="3" s="1"/>
  <c r="AV17" i="3"/>
  <c r="R8" i="3"/>
  <c r="R21" i="3" s="1"/>
  <c r="R23" i="3" s="1"/>
  <c r="T8" i="3"/>
  <c r="T21" i="3" s="1"/>
  <c r="T23" i="3" s="1"/>
  <c r="V8" i="3"/>
  <c r="V21" i="3" s="1"/>
  <c r="V23" i="3" s="1"/>
  <c r="W8" i="3"/>
  <c r="W21" i="3" s="1"/>
  <c r="W23" i="3" s="1"/>
  <c r="G8" i="3"/>
  <c r="G21" i="3" s="1"/>
  <c r="G23" i="3" s="1"/>
  <c r="G142" i="3" s="1"/>
  <c r="AV13" i="3"/>
  <c r="AV15" i="3"/>
  <c r="AV14" i="3"/>
  <c r="AV19" i="3"/>
  <c r="Q8" i="3"/>
  <c r="Q21" i="3" s="1"/>
  <c r="P8" i="3"/>
  <c r="P21" i="3" s="1"/>
  <c r="AG44" i="3"/>
  <c r="AV7" i="3"/>
  <c r="E45" i="12"/>
  <c r="E47" i="12" s="1"/>
  <c r="E146" i="12" s="1"/>
  <c r="L45" i="12"/>
  <c r="L47" i="12" s="1"/>
  <c r="L146" i="12" s="1"/>
  <c r="AB86" i="3"/>
  <c r="N8" i="3"/>
  <c r="N21" i="3" s="1"/>
  <c r="N23" i="3" s="1"/>
  <c r="N142" i="3" s="1"/>
  <c r="J8" i="3"/>
  <c r="J21" i="3" s="1"/>
  <c r="J23" i="3" s="1"/>
  <c r="J142" i="3" s="1"/>
  <c r="L63" i="3"/>
  <c r="L65" i="3" s="1"/>
  <c r="L144" i="3" s="1"/>
  <c r="O8" i="3"/>
  <c r="O21" i="3" s="1"/>
  <c r="O23" i="3" s="1"/>
  <c r="N84" i="3"/>
  <c r="N86" i="3" s="1"/>
  <c r="N145" i="3" s="1"/>
  <c r="AH107" i="3"/>
  <c r="M8" i="3"/>
  <c r="M21" i="3" s="1"/>
  <c r="M23" i="3" s="1"/>
  <c r="M142" i="3" s="1"/>
  <c r="I8" i="3"/>
  <c r="I21" i="3" s="1"/>
  <c r="I23" i="3" s="1"/>
  <c r="I142" i="3" s="1"/>
  <c r="L8" i="3"/>
  <c r="L21" i="3" s="1"/>
  <c r="L23" i="3" s="1"/>
  <c r="L142" i="3" s="1"/>
  <c r="K8" i="3"/>
  <c r="K21" i="3" s="1"/>
  <c r="K23" i="3" s="1"/>
  <c r="K142" i="3" s="1"/>
  <c r="G24" i="12"/>
  <c r="G26" i="12" s="1"/>
  <c r="G145" i="12" s="1"/>
  <c r="J108" i="13"/>
  <c r="J110" i="13" s="1"/>
  <c r="J149" i="13" s="1"/>
  <c r="E108" i="13"/>
  <c r="E110" i="13" s="1"/>
  <c r="E149" i="13" s="1"/>
  <c r="K105" i="3"/>
  <c r="K107" i="3" s="1"/>
  <c r="K146" i="3" s="1"/>
  <c r="AV9" i="13"/>
  <c r="I66" i="12"/>
  <c r="I68" i="12" s="1"/>
  <c r="I147" i="12" s="1"/>
  <c r="E87" i="12"/>
  <c r="E89" i="12" s="1"/>
  <c r="E148" i="12" s="1"/>
  <c r="N110" i="13"/>
  <c r="N149" i="13" s="1"/>
  <c r="F45" i="12"/>
  <c r="F47" i="12" s="1"/>
  <c r="F146" i="12" s="1"/>
  <c r="K89" i="13"/>
  <c r="K148" i="13" s="1"/>
  <c r="N110" i="12"/>
  <c r="N149" i="12" s="1"/>
  <c r="O107" i="3"/>
  <c r="Z89" i="12"/>
  <c r="X110" i="13"/>
  <c r="X89" i="13"/>
  <c r="X68" i="13"/>
  <c r="F66" i="13"/>
  <c r="F68" i="13" s="1"/>
  <c r="F147" i="13" s="1"/>
  <c r="F45" i="13"/>
  <c r="F47" i="13" s="1"/>
  <c r="F146" i="13" s="1"/>
  <c r="I108" i="12"/>
  <c r="I110" i="12" s="1"/>
  <c r="I149" i="12" s="1"/>
  <c r="AF110" i="12"/>
  <c r="O110" i="13"/>
  <c r="I105" i="3"/>
  <c r="I107" i="3" s="1"/>
  <c r="I146" i="3" s="1"/>
  <c r="H24" i="13"/>
  <c r="H26" i="13" s="1"/>
  <c r="H145" i="13" s="1"/>
  <c r="G108" i="13"/>
  <c r="G110" i="13" s="1"/>
  <c r="G149" i="13" s="1"/>
  <c r="AI47" i="12"/>
  <c r="X86" i="3"/>
  <c r="O86" i="3"/>
  <c r="L24" i="13"/>
  <c r="M108" i="13"/>
  <c r="M110" i="13" s="1"/>
  <c r="M149" i="13" s="1"/>
  <c r="AV11" i="3"/>
  <c r="G87" i="12"/>
  <c r="G89" i="12" s="1"/>
  <c r="G148" i="12" s="1"/>
  <c r="G29" i="1"/>
  <c r="H29" i="1" s="1"/>
  <c r="AC65" i="3"/>
  <c r="AI68" i="12"/>
  <c r="AV9" i="3"/>
  <c r="G89" i="13"/>
  <c r="G148" i="13" s="1"/>
  <c r="AC86" i="3"/>
  <c r="AE110" i="12"/>
  <c r="L105" i="3"/>
  <c r="L107" i="3" s="1"/>
  <c r="L146" i="3" s="1"/>
  <c r="G45" i="13"/>
  <c r="G47" i="13" s="1"/>
  <c r="G146" i="13" s="1"/>
  <c r="L108" i="13"/>
  <c r="L110" i="13" s="1"/>
  <c r="L149" i="13" s="1"/>
  <c r="G31" i="1"/>
  <c r="D28" i="1"/>
  <c r="E28" i="1" s="1"/>
  <c r="AF89" i="12"/>
  <c r="X107" i="3"/>
  <c r="K87" i="12"/>
  <c r="K89" i="12" s="1"/>
  <c r="K148" i="12" s="1"/>
  <c r="AV10" i="3"/>
  <c r="G63" i="3"/>
  <c r="G65" i="3" s="1"/>
  <c r="G144" i="3" s="1"/>
  <c r="J45" i="12"/>
  <c r="J47" i="12" s="1"/>
  <c r="J146" i="12" s="1"/>
  <c r="K66" i="12"/>
  <c r="K68" i="12" s="1"/>
  <c r="K147" i="12" s="1"/>
  <c r="E42" i="3"/>
  <c r="E44" i="3" s="1"/>
  <c r="E143" i="3" s="1"/>
  <c r="H108" i="13"/>
  <c r="H110" i="13" s="1"/>
  <c r="H149" i="13" s="1"/>
  <c r="H89" i="13"/>
  <c r="H148" i="13" s="1"/>
  <c r="J110" i="12"/>
  <c r="J149" i="12" s="1"/>
  <c r="K24" i="13"/>
  <c r="K26" i="13" s="1"/>
  <c r="K145" i="13" s="1"/>
  <c r="L26" i="13"/>
  <c r="L145" i="13" s="1"/>
  <c r="G110" i="12"/>
  <c r="G149" i="12" s="1"/>
  <c r="M87" i="12"/>
  <c r="M89" i="12" s="1"/>
  <c r="M148" i="12" s="1"/>
  <c r="K45" i="13"/>
  <c r="K47" i="13" s="1"/>
  <c r="K146" i="13" s="1"/>
  <c r="H45" i="12"/>
  <c r="H47" i="12" s="1"/>
  <c r="H146" i="12" s="1"/>
  <c r="K108" i="13"/>
  <c r="K110" i="13" s="1"/>
  <c r="K149" i="13" s="1"/>
  <c r="F108" i="13"/>
  <c r="F110" i="13" s="1"/>
  <c r="F149" i="13" s="1"/>
  <c r="E47" i="13"/>
  <c r="E146" i="13" s="1"/>
  <c r="P87" i="12"/>
  <c r="P89" i="12" s="1"/>
  <c r="J68" i="13"/>
  <c r="J147" i="13" s="1"/>
  <c r="G105" i="3"/>
  <c r="G107" i="3" s="1"/>
  <c r="G146" i="3" s="1"/>
  <c r="AI110" i="12"/>
  <c r="E84" i="3"/>
  <c r="E86" i="3" s="1"/>
  <c r="E145" i="3" s="1"/>
  <c r="E105" i="3"/>
  <c r="E107" i="3" s="1"/>
  <c r="E146" i="3" s="1"/>
  <c r="F84" i="3"/>
  <c r="F86" i="3" s="1"/>
  <c r="F145" i="3" s="1"/>
  <c r="E66" i="13"/>
  <c r="E68" i="13" s="1"/>
  <c r="E147" i="13" s="1"/>
  <c r="H108" i="12"/>
  <c r="H110" i="12" s="1"/>
  <c r="H149" i="12" s="1"/>
  <c r="I45" i="12"/>
  <c r="I47" i="12" s="1"/>
  <c r="I146" i="12" s="1"/>
  <c r="T89" i="12"/>
  <c r="I87" i="12"/>
  <c r="I89" i="12" s="1"/>
  <c r="I148" i="12" s="1"/>
  <c r="E21" i="3"/>
  <c r="E23" i="3" s="1"/>
  <c r="E142" i="3" s="1"/>
  <c r="H8" i="3"/>
  <c r="H21" i="3" s="1"/>
  <c r="H23" i="3" s="1"/>
  <c r="H142" i="3" s="1"/>
  <c r="M66" i="12"/>
  <c r="M68" i="12" s="1"/>
  <c r="M147" i="12" s="1"/>
  <c r="X26" i="13"/>
  <c r="I84" i="3"/>
  <c r="I86" i="3" s="1"/>
  <c r="I145" i="3" s="1"/>
  <c r="M66" i="13"/>
  <c r="M68" i="13" s="1"/>
  <c r="M147" i="13" s="1"/>
  <c r="S110" i="12"/>
  <c r="S112" i="12" s="1"/>
  <c r="G4" i="13" s="1"/>
  <c r="V107" i="3"/>
  <c r="R26" i="13"/>
  <c r="U89" i="13"/>
  <c r="U112" i="13" s="1"/>
  <c r="AA89" i="13"/>
  <c r="AA112" i="13" s="1"/>
  <c r="J45" i="13"/>
  <c r="J47" i="13" s="1"/>
  <c r="J146" i="13" s="1"/>
  <c r="J150" i="13" s="1"/>
  <c r="T47" i="13"/>
  <c r="C108" i="13"/>
  <c r="C110" i="13" s="1"/>
  <c r="C149" i="13" s="1"/>
  <c r="C150" i="13" s="1"/>
  <c r="N47" i="13"/>
  <c r="N146" i="13" s="1"/>
  <c r="O26" i="13"/>
  <c r="R108" i="13"/>
  <c r="R110" i="13" s="1"/>
  <c r="O89" i="13"/>
  <c r="Q68" i="13"/>
  <c r="Q112" i="13" s="1"/>
  <c r="AV11" i="13"/>
  <c r="E89" i="13"/>
  <c r="E148" i="13" s="1"/>
  <c r="V87" i="13"/>
  <c r="V89" i="13" s="1"/>
  <c r="V112" i="13" s="1"/>
  <c r="P89" i="13"/>
  <c r="T26" i="13"/>
  <c r="D31" i="1"/>
  <c r="E31" i="1" s="1"/>
  <c r="E26" i="13"/>
  <c r="E145" i="13" s="1"/>
  <c r="T89" i="13"/>
  <c r="X47" i="13"/>
  <c r="T68" i="13"/>
  <c r="W112" i="13"/>
  <c r="L87" i="12"/>
  <c r="L89" i="12" s="1"/>
  <c r="L148" i="12" s="1"/>
  <c r="I108" i="13"/>
  <c r="I110" i="13" s="1"/>
  <c r="I149" i="13" s="1"/>
  <c r="I150" i="13" s="1"/>
  <c r="Q26" i="12"/>
  <c r="Q112" i="12" s="1"/>
  <c r="E4" i="13" s="1"/>
  <c r="AF112" i="13"/>
  <c r="P110" i="13"/>
  <c r="J84" i="3"/>
  <c r="J86" i="3" s="1"/>
  <c r="J145" i="3" s="1"/>
  <c r="Z107" i="3"/>
  <c r="H84" i="3"/>
  <c r="H86" i="3" s="1"/>
  <c r="H145" i="3" s="1"/>
  <c r="D150" i="13"/>
  <c r="P68" i="13"/>
  <c r="P86" i="3"/>
  <c r="R86" i="3"/>
  <c r="AC26" i="12"/>
  <c r="AC112" i="12" s="1"/>
  <c r="T26" i="12"/>
  <c r="M107" i="3"/>
  <c r="M146" i="3" s="1"/>
  <c r="AB107" i="3"/>
  <c r="AA107" i="3"/>
  <c r="J105" i="3"/>
  <c r="J107" i="3" s="1"/>
  <c r="J146" i="3" s="1"/>
  <c r="AI86" i="3"/>
  <c r="G84" i="3"/>
  <c r="G86" i="3" s="1"/>
  <c r="AA86" i="3"/>
  <c r="V86" i="3"/>
  <c r="AV6" i="3"/>
  <c r="D29" i="1"/>
  <c r="E29" i="1" s="1"/>
  <c r="G27" i="1"/>
  <c r="D27" i="1"/>
  <c r="E27" i="1" s="1"/>
  <c r="G30" i="1"/>
  <c r="H30" i="1" s="1"/>
  <c r="D38" i="1"/>
  <c r="E38" i="1" s="1"/>
  <c r="H11" i="1"/>
  <c r="B16" i="1" s="1"/>
  <c r="C16" i="1" s="1"/>
  <c r="D43" i="1"/>
  <c r="E43" i="1" s="1"/>
  <c r="G28" i="1"/>
  <c r="H28" i="1" s="1"/>
  <c r="G6" i="1"/>
  <c r="I6" i="1" s="1"/>
  <c r="D30" i="1"/>
  <c r="E30" i="1" s="1"/>
  <c r="AH23" i="3"/>
  <c r="F21" i="3"/>
  <c r="F23" i="3" s="1"/>
  <c r="F142" i="3" s="1"/>
  <c r="AG112" i="13"/>
  <c r="Y112" i="13"/>
  <c r="S112" i="13"/>
  <c r="AJ112" i="13"/>
  <c r="AI112" i="13"/>
  <c r="AD112" i="13"/>
  <c r="AE112" i="13"/>
  <c r="Z112" i="13"/>
  <c r="C132" i="12"/>
  <c r="C135" i="12" s="1"/>
  <c r="C138" i="12"/>
  <c r="AF84" i="3"/>
  <c r="AF86" i="3" s="1"/>
  <c r="C295" i="12"/>
  <c r="K295" i="12"/>
  <c r="D293" i="12"/>
  <c r="L293" i="12"/>
  <c r="J293" i="12"/>
  <c r="I295" i="12"/>
  <c r="Y108" i="12"/>
  <c r="Y110" i="12" s="1"/>
  <c r="F291" i="12"/>
  <c r="G287" i="12"/>
  <c r="AE63" i="3"/>
  <c r="AE65" i="3" s="1"/>
  <c r="AE109" i="3" s="1"/>
  <c r="G3" i="13" s="1"/>
  <c r="AF65" i="3"/>
  <c r="K65" i="3"/>
  <c r="K144" i="3" s="1"/>
  <c r="Y65" i="3"/>
  <c r="R108" i="12"/>
  <c r="R110" i="12" s="1"/>
  <c r="AG105" i="3"/>
  <c r="AG107" i="3" s="1"/>
  <c r="AD84" i="3"/>
  <c r="AD86" i="3" s="1"/>
  <c r="AG84" i="3"/>
  <c r="AG86" i="3" s="1"/>
  <c r="W89" i="12"/>
  <c r="E295" i="12"/>
  <c r="F295" i="12"/>
  <c r="M293" i="12"/>
  <c r="Z108" i="12"/>
  <c r="Z110" i="12" s="1"/>
  <c r="Y89" i="12"/>
  <c r="AH112" i="13"/>
  <c r="H286" i="13"/>
  <c r="G290" i="13"/>
  <c r="G297" i="13" s="1"/>
  <c r="R68" i="13"/>
  <c r="P26" i="13"/>
  <c r="N89" i="12"/>
  <c r="N148" i="12" s="1"/>
  <c r="F105" i="3"/>
  <c r="F107" i="3" s="1"/>
  <c r="F146" i="3" s="1"/>
  <c r="D287" i="3"/>
  <c r="E283" i="3"/>
  <c r="U87" i="12"/>
  <c r="U89" i="12" s="1"/>
  <c r="AI105" i="3"/>
  <c r="AI107" i="3" s="1"/>
  <c r="D271" i="13"/>
  <c r="D292" i="13" s="1"/>
  <c r="H271" i="13"/>
  <c r="H292" i="13" s="1"/>
  <c r="L271" i="13"/>
  <c r="L292" i="13" s="1"/>
  <c r="E271" i="13"/>
  <c r="E292" i="13" s="1"/>
  <c r="I271" i="13"/>
  <c r="I292" i="13" s="1"/>
  <c r="M271" i="13"/>
  <c r="M292" i="13" s="1"/>
  <c r="C271" i="13"/>
  <c r="C294" i="13" s="1"/>
  <c r="F271" i="13"/>
  <c r="F294" i="13" s="1"/>
  <c r="J271" i="13"/>
  <c r="J294" i="13" s="1"/>
  <c r="N271" i="13"/>
  <c r="N294" i="13" s="1"/>
  <c r="G271" i="13"/>
  <c r="G294" i="13" s="1"/>
  <c r="K271" i="13"/>
  <c r="K294" i="13" s="1"/>
  <c r="U108" i="12"/>
  <c r="U110" i="12" s="1"/>
  <c r="AC105" i="3"/>
  <c r="AC107" i="3" s="1"/>
  <c r="R87" i="12"/>
  <c r="R89" i="12" s="1"/>
  <c r="X108" i="12"/>
  <c r="X110" i="12" s="1"/>
  <c r="G295" i="12"/>
  <c r="N295" i="12"/>
  <c r="D296" i="12"/>
  <c r="D298" i="12"/>
  <c r="X89" i="12"/>
  <c r="AB63" i="3"/>
  <c r="AB65" i="3" s="1"/>
  <c r="L66" i="12"/>
  <c r="L68" i="12" s="1"/>
  <c r="L147" i="12" s="1"/>
  <c r="W110" i="12"/>
  <c r="D295" i="13"/>
  <c r="E295" i="13"/>
  <c r="D297" i="13"/>
  <c r="F295" i="13"/>
  <c r="E297" i="13"/>
  <c r="C295" i="13"/>
  <c r="F297" i="13"/>
  <c r="C297" i="13"/>
  <c r="H295" i="12"/>
  <c r="AF105" i="3"/>
  <c r="AF107" i="3" s="1"/>
  <c r="C141" i="13"/>
  <c r="N141" i="13"/>
  <c r="I141" i="13"/>
  <c r="E141" i="13"/>
  <c r="M141" i="13"/>
  <c r="J141" i="13"/>
  <c r="F141" i="13"/>
  <c r="K141" i="13"/>
  <c r="G141" i="13"/>
  <c r="L141" i="13"/>
  <c r="H141" i="13"/>
  <c r="D141" i="13"/>
  <c r="G13" i="2"/>
  <c r="AC112" i="13"/>
  <c r="AB112" i="13"/>
  <c r="W68" i="12"/>
  <c r="G45" i="12"/>
  <c r="G47" i="12" s="1"/>
  <c r="L24" i="12"/>
  <c r="L26" i="12" s="1"/>
  <c r="AJ112" i="12"/>
  <c r="N68" i="12"/>
  <c r="N147" i="12" s="1"/>
  <c r="R68" i="12"/>
  <c r="D26" i="12"/>
  <c r="D112" i="12" s="1"/>
  <c r="R47" i="12"/>
  <c r="W47" i="12"/>
  <c r="AG68" i="12"/>
  <c r="AG112" i="12" s="1"/>
  <c r="U24" i="12"/>
  <c r="U26" i="12" s="1"/>
  <c r="X26" i="12"/>
  <c r="AA23" i="3"/>
  <c r="AF44" i="3"/>
  <c r="Z45" i="12"/>
  <c r="Z47" i="12" s="1"/>
  <c r="P66" i="12"/>
  <c r="P68" i="12" s="1"/>
  <c r="AH112" i="12"/>
  <c r="N145" i="12"/>
  <c r="E24" i="12"/>
  <c r="E26" i="12" s="1"/>
  <c r="AB24" i="12"/>
  <c r="AB26" i="12" s="1"/>
  <c r="AB112" i="12" s="1"/>
  <c r="AD24" i="12"/>
  <c r="AD26" i="12" s="1"/>
  <c r="AD112" i="12" s="1"/>
  <c r="J24" i="12"/>
  <c r="J26" i="12" s="1"/>
  <c r="AV9" i="12"/>
  <c r="C24" i="12"/>
  <c r="C26" i="12" s="1"/>
  <c r="W24" i="12"/>
  <c r="W26" i="12" s="1"/>
  <c r="AI24" i="12"/>
  <c r="AI26" i="12" s="1"/>
  <c r="AA24" i="12"/>
  <c r="AA26" i="12" s="1"/>
  <c r="AA112" i="12" s="1"/>
  <c r="O24" i="12"/>
  <c r="O26" i="12" s="1"/>
  <c r="O112" i="12" s="1"/>
  <c r="C4" i="13" s="1"/>
  <c r="P24" i="12"/>
  <c r="P26" i="12" s="1"/>
  <c r="Z24" i="12"/>
  <c r="Z26" i="12" s="1"/>
  <c r="M24" i="12"/>
  <c r="M26" i="12" s="1"/>
  <c r="I24" i="12"/>
  <c r="I26" i="12" s="1"/>
  <c r="AV11" i="12"/>
  <c r="Y24" i="12"/>
  <c r="Y26" i="12" s="1"/>
  <c r="AF24" i="12"/>
  <c r="AF26" i="12" s="1"/>
  <c r="H24" i="12"/>
  <c r="H26" i="12" s="1"/>
  <c r="V24" i="12"/>
  <c r="V26" i="12" s="1"/>
  <c r="V112" i="12" s="1"/>
  <c r="J4" i="13" s="1"/>
  <c r="F24" i="12"/>
  <c r="F26" i="12" s="1"/>
  <c r="K24" i="12"/>
  <c r="K26" i="12" s="1"/>
  <c r="AE24" i="12"/>
  <c r="AE26" i="12" s="1"/>
  <c r="U65" i="3"/>
  <c r="N63" i="3"/>
  <c r="N65" i="3" s="1"/>
  <c r="J63" i="3"/>
  <c r="J65" i="3" s="1"/>
  <c r="H63" i="3"/>
  <c r="H65" i="3" s="1"/>
  <c r="H144" i="3" s="1"/>
  <c r="F63" i="3"/>
  <c r="F65" i="3" s="1"/>
  <c r="F144" i="3" s="1"/>
  <c r="M63" i="3"/>
  <c r="M65" i="3" s="1"/>
  <c r="D63" i="3"/>
  <c r="D65" i="3" s="1"/>
  <c r="AD44" i="3"/>
  <c r="AJ109" i="3"/>
  <c r="L3" i="13" s="1"/>
  <c r="C143" i="3"/>
  <c r="G295" i="13" l="1"/>
  <c r="L150" i="13"/>
  <c r="AF112" i="12"/>
  <c r="L294" i="13"/>
  <c r="M294" i="13"/>
  <c r="I294" i="13"/>
  <c r="N292" i="13"/>
  <c r="C304" i="12"/>
  <c r="C147" i="3"/>
  <c r="E294" i="13"/>
  <c r="C109" i="3"/>
  <c r="C128" i="3" s="1"/>
  <c r="E304" i="12"/>
  <c r="K292" i="13"/>
  <c r="J292" i="13"/>
  <c r="D294" i="13"/>
  <c r="D303" i="13" s="1"/>
  <c r="F292" i="13"/>
  <c r="G292" i="13"/>
  <c r="G303" i="13" s="1"/>
  <c r="AH109" i="3"/>
  <c r="J3" i="13" s="1"/>
  <c r="J112" i="13" s="1"/>
  <c r="J131" i="13" s="1"/>
  <c r="J133" i="13" s="1"/>
  <c r="C292" i="13"/>
  <c r="C303" i="13" s="1"/>
  <c r="H294" i="13"/>
  <c r="N150" i="13"/>
  <c r="G150" i="13"/>
  <c r="AE112" i="12"/>
  <c r="F150" i="13"/>
  <c r="X23" i="3"/>
  <c r="Y23" i="3"/>
  <c r="B54" i="13"/>
  <c r="B55" i="13" s="1"/>
  <c r="B49" i="13" s="1"/>
  <c r="O112" i="13"/>
  <c r="P23" i="3"/>
  <c r="Q23" i="3"/>
  <c r="D44" i="1"/>
  <c r="E44" i="1" s="1"/>
  <c r="AV8" i="3"/>
  <c r="G43" i="1"/>
  <c r="H43" i="1" s="1"/>
  <c r="D41" i="1"/>
  <c r="E41" i="1" s="1"/>
  <c r="D35" i="1"/>
  <c r="E35" i="1" s="1"/>
  <c r="D34" i="1"/>
  <c r="E34" i="1" s="1"/>
  <c r="D37" i="1"/>
  <c r="E37" i="1" s="1"/>
  <c r="B75" i="12" s="1"/>
  <c r="B76" i="12" s="1"/>
  <c r="B70" i="12" s="1"/>
  <c r="H31" i="1"/>
  <c r="G32" i="1"/>
  <c r="M150" i="13"/>
  <c r="B33" i="13"/>
  <c r="B34" i="13" s="1"/>
  <c r="B28" i="13" s="1"/>
  <c r="T112" i="12"/>
  <c r="H4" i="13" s="1"/>
  <c r="G36" i="1"/>
  <c r="H36" i="1" s="1"/>
  <c r="D36" i="1"/>
  <c r="E36" i="1" s="1"/>
  <c r="G34" i="1"/>
  <c r="G38" i="1"/>
  <c r="H38" i="1" s="1"/>
  <c r="G35" i="1"/>
  <c r="H35" i="1" s="1"/>
  <c r="G37" i="1"/>
  <c r="H37" i="1" s="1"/>
  <c r="B18" i="1"/>
  <c r="B20" i="1" s="1"/>
  <c r="H27" i="1"/>
  <c r="D145" i="12"/>
  <c r="D150" i="12" s="1"/>
  <c r="X112" i="13"/>
  <c r="K150" i="13"/>
  <c r="H150" i="13"/>
  <c r="AI112" i="12"/>
  <c r="N150" i="12"/>
  <c r="E150" i="13"/>
  <c r="P112" i="13"/>
  <c r="T112" i="13"/>
  <c r="W112" i="12"/>
  <c r="K4" i="13" s="1"/>
  <c r="AI109" i="3"/>
  <c r="K3" i="13" s="1"/>
  <c r="B75" i="13"/>
  <c r="B76" i="13" s="1"/>
  <c r="B70" i="13" s="1"/>
  <c r="B12" i="13"/>
  <c r="B13" i="13" s="1"/>
  <c r="B7" i="13" s="1"/>
  <c r="R112" i="13"/>
  <c r="N112" i="12"/>
  <c r="X112" i="12"/>
  <c r="L4" i="13" s="1"/>
  <c r="L112" i="13" s="1"/>
  <c r="L131" i="13" s="1"/>
  <c r="L133" i="13" s="1"/>
  <c r="D42" i="1"/>
  <c r="E42" i="1" s="1"/>
  <c r="G41" i="1"/>
  <c r="AD109" i="3"/>
  <c r="F3" i="13" s="1"/>
  <c r="R112" i="12"/>
  <c r="F4" i="13" s="1"/>
  <c r="B51" i="3"/>
  <c r="B52" i="3" s="1"/>
  <c r="B46" i="3" s="1"/>
  <c r="G145" i="3"/>
  <c r="AG109" i="3"/>
  <c r="I3" i="13" s="1"/>
  <c r="D144" i="3"/>
  <c r="D147" i="3" s="1"/>
  <c r="D109" i="3"/>
  <c r="D128" i="3" s="1"/>
  <c r="D130" i="3" s="1"/>
  <c r="E109" i="3"/>
  <c r="E128" i="3" s="1"/>
  <c r="E130" i="3" s="1"/>
  <c r="E147" i="3"/>
  <c r="G45" i="1"/>
  <c r="H45" i="1" s="1"/>
  <c r="B96" i="12" s="1"/>
  <c r="B97" i="12" s="1"/>
  <c r="B91" i="12" s="1"/>
  <c r="D45" i="1"/>
  <c r="E45" i="1" s="1"/>
  <c r="B93" i="3" s="1"/>
  <c r="B94" i="3" s="1"/>
  <c r="B88" i="3" s="1"/>
  <c r="G44" i="1"/>
  <c r="H44" i="1" s="1"/>
  <c r="G42" i="1"/>
  <c r="AF109" i="3"/>
  <c r="H3" i="13" s="1"/>
  <c r="N144" i="3"/>
  <c r="F303" i="13"/>
  <c r="I286" i="13"/>
  <c r="H290" i="13"/>
  <c r="D304" i="12"/>
  <c r="F283" i="3"/>
  <c r="E287" i="3"/>
  <c r="H287" i="12"/>
  <c r="G291" i="12"/>
  <c r="Y112" i="12"/>
  <c r="M4" i="13" s="1"/>
  <c r="M112" i="13" s="1"/>
  <c r="M131" i="13" s="1"/>
  <c r="N133" i="13" s="1"/>
  <c r="D294" i="3"/>
  <c r="D292" i="3"/>
  <c r="F296" i="12"/>
  <c r="F298" i="12"/>
  <c r="U112" i="12"/>
  <c r="I4" i="13" s="1"/>
  <c r="E303" i="13"/>
  <c r="L112" i="12"/>
  <c r="L145" i="12"/>
  <c r="L150" i="12" s="1"/>
  <c r="G146" i="12"/>
  <c r="G150" i="12" s="1"/>
  <c r="G112" i="12"/>
  <c r="P112" i="12"/>
  <c r="D4" i="13" s="1"/>
  <c r="Z112" i="12"/>
  <c r="N4" i="13" s="1"/>
  <c r="N112" i="13" s="1"/>
  <c r="N131" i="13" s="1"/>
  <c r="G112" i="13"/>
  <c r="G131" i="13" s="1"/>
  <c r="G133" i="13" s="1"/>
  <c r="H112" i="12"/>
  <c r="H145" i="12"/>
  <c r="H150" i="12" s="1"/>
  <c r="J145" i="12"/>
  <c r="J150" i="12" s="1"/>
  <c r="J112" i="12"/>
  <c r="E112" i="12"/>
  <c r="E145" i="12"/>
  <c r="E150" i="12" s="1"/>
  <c r="I112" i="12"/>
  <c r="I145" i="12"/>
  <c r="I150" i="12" s="1"/>
  <c r="K145" i="12"/>
  <c r="K150" i="12" s="1"/>
  <c r="K112" i="12"/>
  <c r="M112" i="12"/>
  <c r="M145" i="12"/>
  <c r="M150" i="12" s="1"/>
  <c r="F145" i="12"/>
  <c r="F150" i="12" s="1"/>
  <c r="F112" i="12"/>
  <c r="C112" i="12"/>
  <c r="C145" i="12"/>
  <c r="C150" i="12" s="1"/>
  <c r="M144" i="3"/>
  <c r="J144" i="3"/>
  <c r="C130" i="3" l="1"/>
  <c r="D300" i="3"/>
  <c r="B54" i="12"/>
  <c r="B55" i="12" s="1"/>
  <c r="B49" i="12" s="1"/>
  <c r="K112" i="13"/>
  <c r="K131" i="13" s="1"/>
  <c r="K133" i="13" s="1"/>
  <c r="B33" i="12"/>
  <c r="B34" i="12" s="1"/>
  <c r="B28" i="12" s="1"/>
  <c r="B72" i="3"/>
  <c r="B73" i="3" s="1"/>
  <c r="B67" i="3" s="1"/>
  <c r="B22" i="1"/>
  <c r="G39" i="1"/>
  <c r="H112" i="13"/>
  <c r="H131" i="13" s="1"/>
  <c r="H133" i="13" s="1"/>
  <c r="B19" i="1"/>
  <c r="B21" i="1"/>
  <c r="F112" i="13"/>
  <c r="F131" i="13" s="1"/>
  <c r="F133" i="13" s="1"/>
  <c r="H34" i="1"/>
  <c r="B12" i="12" s="1"/>
  <c r="B13" i="12" s="1"/>
  <c r="B7" i="12" s="1"/>
  <c r="H41" i="1"/>
  <c r="B9" i="3" s="1"/>
  <c r="B10" i="3" s="1"/>
  <c r="B4" i="3" s="1"/>
  <c r="G46" i="1"/>
  <c r="I112" i="13"/>
  <c r="I131" i="13" s="1"/>
  <c r="I133" i="13" s="1"/>
  <c r="B96" i="13"/>
  <c r="B97" i="13" s="1"/>
  <c r="B91" i="13" s="1"/>
  <c r="M133" i="13"/>
  <c r="H42" i="1"/>
  <c r="B30" i="3" s="1"/>
  <c r="F287" i="3"/>
  <c r="G283" i="3"/>
  <c r="G296" i="12"/>
  <c r="G298" i="12"/>
  <c r="H297" i="13"/>
  <c r="H295" i="13"/>
  <c r="F304" i="12"/>
  <c r="H291" i="12"/>
  <c r="I287" i="12"/>
  <c r="I290" i="13"/>
  <c r="J286" i="13"/>
  <c r="E292" i="3"/>
  <c r="E294" i="3"/>
  <c r="E300" i="3" l="1"/>
  <c r="I297" i="13"/>
  <c r="I295" i="13"/>
  <c r="J287" i="12"/>
  <c r="I291" i="12"/>
  <c r="H296" i="12"/>
  <c r="H298" i="12"/>
  <c r="G304" i="12"/>
  <c r="G287" i="3"/>
  <c r="H283" i="3"/>
  <c r="J290" i="13"/>
  <c r="K286" i="13"/>
  <c r="H303" i="13"/>
  <c r="F294" i="3"/>
  <c r="F292" i="3"/>
  <c r="I303" i="13" l="1"/>
  <c r="H304" i="12"/>
  <c r="J291" i="12"/>
  <c r="K287" i="12"/>
  <c r="J295" i="13"/>
  <c r="J297" i="13"/>
  <c r="I296" i="12"/>
  <c r="I298" i="12"/>
  <c r="H287" i="3"/>
  <c r="I283" i="3"/>
  <c r="F300" i="3"/>
  <c r="L286" i="13"/>
  <c r="K290" i="13"/>
  <c r="G294" i="3"/>
  <c r="G292" i="3"/>
  <c r="G300" i="3" l="1"/>
  <c r="L287" i="12"/>
  <c r="K291" i="12"/>
  <c r="J296" i="12"/>
  <c r="J298" i="12"/>
  <c r="K297" i="13"/>
  <c r="K295" i="13"/>
  <c r="I287" i="3"/>
  <c r="J283" i="3"/>
  <c r="M286" i="13"/>
  <c r="L290" i="13"/>
  <c r="H294" i="3"/>
  <c r="H292" i="3"/>
  <c r="I304" i="12"/>
  <c r="J303" i="13"/>
  <c r="H300" i="3" l="1"/>
  <c r="J304" i="12"/>
  <c r="K303" i="13"/>
  <c r="L295" i="13"/>
  <c r="L297" i="13"/>
  <c r="N286" i="13"/>
  <c r="N290" i="13" s="1"/>
  <c r="M290" i="13"/>
  <c r="J287" i="3"/>
  <c r="K283" i="3"/>
  <c r="K296" i="12"/>
  <c r="K298" i="12"/>
  <c r="I292" i="3"/>
  <c r="I294" i="3"/>
  <c r="L291" i="12"/>
  <c r="M287" i="12"/>
  <c r="AM4" i="9"/>
  <c r="AM9" i="9"/>
  <c r="X10" i="9"/>
  <c r="W5" i="9"/>
  <c r="N9" i="9"/>
  <c r="T2" i="9"/>
  <c r="V6" i="9"/>
  <c r="S5" i="9"/>
  <c r="N8" i="9"/>
  <c r="M5" i="9"/>
  <c r="J8" i="9"/>
  <c r="N2" i="9"/>
  <c r="AK7" i="9"/>
  <c r="AM7" i="9"/>
  <c r="AL11" i="9"/>
  <c r="K2" i="9"/>
  <c r="I7" i="9"/>
  <c r="Y8" i="9"/>
  <c r="M4" i="9"/>
  <c r="L5" i="9"/>
  <c r="AE11" i="9"/>
  <c r="Y3" i="9"/>
  <c r="N7" i="9"/>
  <c r="AL4" i="9"/>
  <c r="AA7" i="9"/>
  <c r="M11" i="9"/>
  <c r="W7" i="9"/>
  <c r="AE5" i="9"/>
  <c r="V3" i="9"/>
  <c r="Z6" i="9"/>
  <c r="AK10" i="9"/>
  <c r="AD7" i="9"/>
  <c r="Z7" i="9"/>
  <c r="AB8" i="9"/>
  <c r="J2" i="9"/>
  <c r="AD8" i="9"/>
  <c r="X11" i="9"/>
  <c r="X6" i="9"/>
  <c r="U8" i="9"/>
  <c r="W11" i="9"/>
  <c r="X5" i="9"/>
  <c r="AJ7" i="9"/>
  <c r="AF3" i="9"/>
  <c r="AG9" i="9"/>
  <c r="Y7" i="9"/>
  <c r="AA10" i="9"/>
  <c r="W9" i="9"/>
  <c r="AC6" i="9"/>
  <c r="U5" i="9"/>
  <c r="Z5" i="9"/>
  <c r="AA8" i="9"/>
  <c r="N4" i="9"/>
  <c r="AE6" i="9"/>
  <c r="U4" i="9"/>
  <c r="AQ9" i="9"/>
  <c r="AL8" i="9"/>
  <c r="W4" i="9"/>
  <c r="AN5" i="9"/>
  <c r="AC7" i="9"/>
  <c r="AI3" i="9"/>
  <c r="AG8" i="9"/>
  <c r="AJ2" i="9"/>
  <c r="Z11" i="9"/>
  <c r="U9" i="9"/>
  <c r="AD9" i="9"/>
  <c r="AC8" i="9"/>
  <c r="I10" i="9"/>
  <c r="K4" i="9"/>
  <c r="Y6" i="9"/>
  <c r="W10" i="9"/>
  <c r="Y10" i="9"/>
  <c r="AB5" i="9"/>
  <c r="W3" i="9"/>
  <c r="O11" i="9"/>
  <c r="AF4" i="9"/>
  <c r="X4" i="9"/>
  <c r="AH2" i="9"/>
  <c r="AI7" i="9"/>
  <c r="AE9" i="9"/>
  <c r="T10" i="9"/>
  <c r="AK4" i="9"/>
  <c r="AN6" i="9"/>
  <c r="AP9" i="9"/>
  <c r="AJ8" i="9"/>
  <c r="AH9" i="9"/>
  <c r="AO11" i="9"/>
  <c r="AF2" i="9"/>
  <c r="AA9" i="9"/>
  <c r="AD6" i="9"/>
  <c r="AK5" i="9"/>
  <c r="S9" i="9"/>
  <c r="AR4" i="9"/>
  <c r="O6" i="9"/>
  <c r="N10" i="9"/>
  <c r="AF9" i="9"/>
  <c r="S8" i="9"/>
  <c r="AF7" i="9"/>
  <c r="AC3" i="9"/>
  <c r="V5" i="9"/>
  <c r="AP3" i="9"/>
  <c r="R7" i="9"/>
  <c r="K8" i="9"/>
  <c r="AJ3" i="9"/>
  <c r="AO8" i="9"/>
  <c r="AE2" i="9"/>
  <c r="Q8" i="9"/>
  <c r="T4" i="9"/>
  <c r="L7" i="9"/>
  <c r="U2" i="9"/>
  <c r="AH5" i="9"/>
  <c r="AN8" i="9"/>
  <c r="AO3" i="9"/>
  <c r="X8" i="9"/>
  <c r="R11" i="9"/>
  <c r="AR9" i="9"/>
  <c r="AH11" i="9"/>
  <c r="N6" i="9"/>
  <c r="O8" i="9"/>
  <c r="AN3" i="9"/>
  <c r="AQ6" i="9"/>
  <c r="S7" i="9"/>
  <c r="AE4" i="9"/>
  <c r="P6" i="9"/>
  <c r="AC11" i="9"/>
  <c r="O7" i="9"/>
  <c r="AR2" i="9"/>
  <c r="AN7" i="9"/>
  <c r="V9" i="9"/>
  <c r="N5" i="9"/>
  <c r="AK8" i="9"/>
  <c r="Y5" i="9"/>
  <c r="P5" i="9"/>
  <c r="X3" i="9"/>
  <c r="AH10" i="9"/>
  <c r="AL10" i="9"/>
  <c r="V7" i="9"/>
  <c r="AL3" i="9"/>
  <c r="Q10" i="9"/>
  <c r="AD5" i="9"/>
  <c r="AG5" i="9"/>
  <c r="AC2" i="9"/>
  <c r="Z2" i="9"/>
  <c r="P8" i="9"/>
  <c r="AP10" i="9"/>
  <c r="AQ10" i="9"/>
  <c r="V4" i="9"/>
  <c r="O10" i="9"/>
  <c r="AD11" i="9"/>
  <c r="AQ11" i="9"/>
  <c r="AI2" i="9"/>
  <c r="AG3" i="9"/>
  <c r="Y2" i="9"/>
  <c r="AG11" i="9"/>
  <c r="AP6" i="9"/>
  <c r="V11" i="9"/>
  <c r="R9" i="9"/>
  <c r="U11" i="9"/>
  <c r="M10" i="9"/>
  <c r="AG7" i="9"/>
  <c r="AM5" i="9"/>
  <c r="AI5" i="9"/>
  <c r="I6" i="9"/>
  <c r="AF10" i="9"/>
  <c r="AC9" i="9"/>
  <c r="AC10" i="9"/>
  <c r="K5" i="9"/>
  <c r="W8" i="9"/>
  <c r="M7" i="9"/>
  <c r="M6" i="9"/>
  <c r="AK9" i="9"/>
  <c r="S4" i="9"/>
  <c r="AI10" i="9"/>
  <c r="S2" i="9"/>
  <c r="AM10" i="9"/>
  <c r="Y11" i="9"/>
  <c r="AI9" i="9"/>
  <c r="AE7" i="9"/>
  <c r="AB11" i="9"/>
  <c r="AK2" i="9"/>
  <c r="P4" i="9"/>
  <c r="AD4" i="9"/>
  <c r="AO5" i="9"/>
  <c r="AH4" i="9"/>
  <c r="I5" i="9"/>
  <c r="AA5" i="9"/>
  <c r="Q11" i="9"/>
  <c r="X9" i="9"/>
  <c r="AQ2" i="9"/>
  <c r="AP5" i="9"/>
  <c r="AQ7" i="9"/>
  <c r="AR7" i="9"/>
  <c r="AB3" i="9"/>
  <c r="AR6" i="9"/>
  <c r="P9" i="9"/>
  <c r="U6" i="9"/>
  <c r="P10" i="9"/>
  <c r="AD10" i="9"/>
  <c r="P11" i="9"/>
  <c r="Z10" i="9"/>
  <c r="R4" i="9"/>
  <c r="AG4" i="9"/>
  <c r="K11" i="9"/>
  <c r="O2" i="9"/>
  <c r="AL5" i="9"/>
  <c r="AH3" i="9"/>
  <c r="AK3" i="9"/>
  <c r="X7" i="9"/>
  <c r="AJ5" i="9"/>
  <c r="S11" i="9"/>
  <c r="V8" i="9"/>
  <c r="S6" i="9"/>
  <c r="Z8" i="9"/>
  <c r="K10" i="9"/>
  <c r="AC5" i="9"/>
  <c r="X2" i="9"/>
  <c r="AI6" i="9"/>
  <c r="AP4" i="9"/>
  <c r="AN4" i="9"/>
  <c r="AH7" i="9"/>
  <c r="AE3" i="9"/>
  <c r="AN10" i="9"/>
  <c r="AM6" i="9"/>
  <c r="AF6" i="9"/>
  <c r="AD2" i="9"/>
  <c r="Z4" i="9"/>
  <c r="Y4" i="9"/>
  <c r="U10" i="9"/>
  <c r="AO4" i="9"/>
  <c r="Z3" i="9"/>
  <c r="AR5" i="9"/>
  <c r="L8" i="9"/>
  <c r="M8" i="9"/>
  <c r="AH8" i="9"/>
  <c r="Q5" i="9"/>
  <c r="J4" i="9"/>
  <c r="V10" i="9"/>
  <c r="AR10" i="9"/>
  <c r="T5" i="9"/>
  <c r="AL9" i="9"/>
  <c r="AF5" i="9"/>
  <c r="AN9" i="9"/>
  <c r="AO9" i="9"/>
  <c r="AE8" i="9"/>
  <c r="AO10" i="9"/>
  <c r="AJ11" i="9"/>
  <c r="AR8" i="9"/>
  <c r="Q6" i="9"/>
  <c r="P2" i="9"/>
  <c r="AM3" i="9"/>
  <c r="AA6" i="9"/>
  <c r="T6" i="9"/>
  <c r="AL6" i="9"/>
  <c r="V2" i="9"/>
  <c r="AO7" i="9"/>
  <c r="M9" i="9"/>
  <c r="U7" i="9"/>
  <c r="AQ3" i="9"/>
  <c r="AP11" i="9"/>
  <c r="AG6" i="9"/>
  <c r="T7" i="9"/>
  <c r="AB2" i="9"/>
  <c r="O9" i="9"/>
  <c r="AM2" i="9"/>
  <c r="AE10" i="9"/>
  <c r="I8" i="9"/>
  <c r="L4" i="9"/>
  <c r="AQ5" i="9"/>
  <c r="T9" i="9"/>
  <c r="AO2" i="9"/>
  <c r="AM8" i="9"/>
  <c r="M2" i="9"/>
  <c r="AA11" i="9"/>
  <c r="AB7" i="9"/>
  <c r="AF8" i="9"/>
  <c r="P7" i="9"/>
  <c r="L6" i="9"/>
  <c r="N11" i="9"/>
  <c r="AR3" i="9"/>
  <c r="W2" i="9"/>
  <c r="AJ4" i="9"/>
  <c r="Z9" i="9"/>
  <c r="AB10" i="9"/>
  <c r="AC4" i="9"/>
  <c r="Q4" i="9"/>
  <c r="Q2" i="9"/>
  <c r="AQ8" i="9"/>
  <c r="AI4" i="9"/>
  <c r="AB6" i="9"/>
  <c r="K6" i="9"/>
  <c r="T11" i="9"/>
  <c r="T8" i="9"/>
  <c r="R10" i="9"/>
  <c r="I9" i="9"/>
  <c r="AP7" i="9"/>
  <c r="K7" i="9"/>
  <c r="AI11" i="9"/>
  <c r="L10" i="9"/>
  <c r="AD3" i="9"/>
  <c r="AJ6" i="9"/>
  <c r="K9" i="9"/>
  <c r="AN2" i="9"/>
  <c r="AA2" i="9"/>
  <c r="AG10" i="9"/>
  <c r="AJ9" i="9"/>
  <c r="AK11" i="9"/>
  <c r="AB4" i="9"/>
  <c r="R6" i="9"/>
  <c r="AR11" i="9"/>
  <c r="Q7" i="9"/>
  <c r="Q9" i="9"/>
  <c r="S10" i="9"/>
  <c r="AJ10" i="9"/>
  <c r="J5" i="9"/>
  <c r="AA4" i="9"/>
  <c r="AN11" i="9"/>
  <c r="AI8" i="9"/>
  <c r="W6" i="9"/>
  <c r="J6" i="9"/>
  <c r="O4" i="9"/>
  <c r="AP8" i="9"/>
  <c r="AO6" i="9"/>
  <c r="J9" i="9"/>
  <c r="Y9" i="9"/>
  <c r="R2" i="9"/>
  <c r="AK6" i="9"/>
  <c r="AP2" i="9"/>
  <c r="R8" i="9"/>
  <c r="AM11" i="9"/>
  <c r="AG2" i="9"/>
  <c r="AL2" i="9"/>
  <c r="AL7" i="9"/>
  <c r="AH6" i="9"/>
  <c r="O5" i="9"/>
  <c r="J10" i="9"/>
  <c r="L9" i="9"/>
  <c r="AA3" i="9"/>
  <c r="AQ4" i="9"/>
  <c r="AB9" i="9"/>
  <c r="AF11" i="9"/>
  <c r="L11" i="9"/>
  <c r="R5" i="9"/>
  <c r="H2" i="9" l="1"/>
  <c r="N172" i="12"/>
  <c r="N173" i="12" s="1"/>
  <c r="C172" i="13"/>
  <c r="C173" i="13" s="1"/>
  <c r="C139" i="13" s="1"/>
  <c r="K172" i="13"/>
  <c r="K173" i="13" s="1"/>
  <c r="M172" i="12"/>
  <c r="M173" i="12" s="1"/>
  <c r="M172" i="13"/>
  <c r="M173" i="13" s="1"/>
  <c r="D172" i="12"/>
  <c r="D173" i="12" s="1"/>
  <c r="M169" i="3"/>
  <c r="M170" i="3" s="1"/>
  <c r="M181" i="12"/>
  <c r="M184" i="12" s="1"/>
  <c r="H8" i="9"/>
  <c r="K172" i="12"/>
  <c r="K173" i="12" s="1"/>
  <c r="H7" i="9"/>
  <c r="E169" i="3"/>
  <c r="E170" i="3" s="1"/>
  <c r="E136" i="3" s="1"/>
  <c r="E181" i="12"/>
  <c r="E184" i="12" s="1"/>
  <c r="H11" i="9"/>
  <c r="H5" i="9"/>
  <c r="L172" i="12"/>
  <c r="L173" i="12" s="1"/>
  <c r="C181" i="12"/>
  <c r="C184" i="12" s="1"/>
  <c r="C169" i="3"/>
  <c r="C170" i="3" s="1"/>
  <c r="C136" i="3" s="1"/>
  <c r="C133" i="3" s="1"/>
  <c r="I172" i="13"/>
  <c r="I173" i="13" s="1"/>
  <c r="I139" i="13" s="1"/>
  <c r="H10" i="9"/>
  <c r="H181" i="12"/>
  <c r="H184" i="12" s="1"/>
  <c r="H169" i="3"/>
  <c r="H170" i="3" s="1"/>
  <c r="H172" i="12"/>
  <c r="H173" i="12" s="1"/>
  <c r="G169" i="3"/>
  <c r="G170" i="3" s="1"/>
  <c r="G181" i="12"/>
  <c r="G184" i="12" s="1"/>
  <c r="H4" i="9"/>
  <c r="C172" i="12"/>
  <c r="C173" i="12" s="1"/>
  <c r="C139" i="12" s="1"/>
  <c r="L169" i="3"/>
  <c r="L170" i="3" s="1"/>
  <c r="L181" i="12"/>
  <c r="L184" i="12" s="1"/>
  <c r="F172" i="12"/>
  <c r="F173" i="12" s="1"/>
  <c r="K181" i="12"/>
  <c r="K184" i="12" s="1"/>
  <c r="K169" i="3"/>
  <c r="K170" i="3" s="1"/>
  <c r="H9" i="9"/>
  <c r="D169" i="3"/>
  <c r="D170" i="3" s="1"/>
  <c r="D136" i="3" s="1"/>
  <c r="D181" i="12"/>
  <c r="D184" i="12" s="1"/>
  <c r="G172" i="13"/>
  <c r="G173" i="13" s="1"/>
  <c r="G139" i="13" s="1"/>
  <c r="H172" i="13"/>
  <c r="H173" i="13" s="1"/>
  <c r="H139" i="13" s="1"/>
  <c r="I172" i="12"/>
  <c r="I173" i="12" s="1"/>
  <c r="N172" i="13"/>
  <c r="N173" i="13" s="1"/>
  <c r="N181" i="12"/>
  <c r="N184" i="12" s="1"/>
  <c r="N169" i="3"/>
  <c r="N170" i="3" s="1"/>
  <c r="E172" i="13"/>
  <c r="E173" i="13" s="1"/>
  <c r="E139" i="13" s="1"/>
  <c r="D172" i="13"/>
  <c r="D173" i="13" s="1"/>
  <c r="D139" i="13" s="1"/>
  <c r="J172" i="13"/>
  <c r="J173" i="13" s="1"/>
  <c r="J139" i="13" s="1"/>
  <c r="L172" i="13"/>
  <c r="L173" i="13" s="1"/>
  <c r="F172" i="13"/>
  <c r="F173" i="13" s="1"/>
  <c r="F139" i="13" s="1"/>
  <c r="G172" i="12"/>
  <c r="G173" i="12" s="1"/>
  <c r="G139" i="12" s="1"/>
  <c r="J172" i="12"/>
  <c r="J173" i="12" s="1"/>
  <c r="F169" i="3"/>
  <c r="F170" i="3" s="1"/>
  <c r="F181" i="12"/>
  <c r="F184" i="12" s="1"/>
  <c r="F139" i="12" s="1"/>
  <c r="H6" i="9"/>
  <c r="E172" i="12"/>
  <c r="E173" i="12" s="1"/>
  <c r="E139" i="12" s="1"/>
  <c r="I181" i="12"/>
  <c r="I184" i="12" s="1"/>
  <c r="I169" i="3"/>
  <c r="I170" i="3" s="1"/>
  <c r="J169" i="3"/>
  <c r="J170" i="3" s="1"/>
  <c r="J181" i="12"/>
  <c r="J184" i="12" s="1"/>
  <c r="E29" i="2"/>
  <c r="E28" i="2" s="1"/>
  <c r="K139" i="13"/>
  <c r="N287" i="12"/>
  <c r="N291" i="12" s="1"/>
  <c r="M291" i="12"/>
  <c r="D29" i="2"/>
  <c r="D28" i="2" s="1"/>
  <c r="N295" i="13"/>
  <c r="N297" i="13"/>
  <c r="L296" i="12"/>
  <c r="L298" i="12"/>
  <c r="K287" i="3"/>
  <c r="L283" i="3"/>
  <c r="J294" i="3"/>
  <c r="J292" i="3"/>
  <c r="L303" i="13"/>
  <c r="L139" i="13" s="1"/>
  <c r="I300" i="3"/>
  <c r="K304" i="12"/>
  <c r="M295" i="13"/>
  <c r="M297" i="13"/>
  <c r="K139" i="12" l="1"/>
  <c r="J139" i="12"/>
  <c r="I139" i="12"/>
  <c r="D133" i="3"/>
  <c r="H139" i="12"/>
  <c r="D139" i="12"/>
  <c r="L304" i="12"/>
  <c r="L139" i="12" s="1"/>
  <c r="N303" i="13"/>
  <c r="N139" i="13" s="1"/>
  <c r="J300" i="3"/>
  <c r="M296" i="12"/>
  <c r="M298" i="12"/>
  <c r="M303" i="13"/>
  <c r="M139" i="13" s="1"/>
  <c r="E21" i="2" s="1"/>
  <c r="L287" i="3"/>
  <c r="M283" i="3"/>
  <c r="N296" i="12"/>
  <c r="N298" i="12"/>
  <c r="K292" i="3"/>
  <c r="K294" i="3"/>
  <c r="E133" i="3" l="1"/>
  <c r="N304" i="12"/>
  <c r="N139" i="12" s="1"/>
  <c r="M287" i="3"/>
  <c r="N283" i="3"/>
  <c r="M304" i="12"/>
  <c r="M139" i="12" s="1"/>
  <c r="L292" i="3"/>
  <c r="L294" i="3"/>
  <c r="K300" i="3"/>
  <c r="D21" i="2" l="1"/>
  <c r="N287" i="3"/>
  <c r="C29" i="2"/>
  <c r="C28" i="2" s="1"/>
  <c r="M292" i="3"/>
  <c r="M294" i="3"/>
  <c r="L300" i="3"/>
  <c r="M300" i="3" l="1"/>
  <c r="N294" i="3"/>
  <c r="N292" i="3"/>
  <c r="Y34" i="3"/>
  <c r="H34" i="3"/>
  <c r="I34" i="3"/>
  <c r="AA34" i="3"/>
  <c r="K34" i="3"/>
  <c r="Q34" i="3"/>
  <c r="W34" i="3"/>
  <c r="G28" i="3"/>
  <c r="R34" i="3"/>
  <c r="O34" i="3"/>
  <c r="S34" i="3"/>
  <c r="U34" i="3"/>
  <c r="AB34" i="3"/>
  <c r="L34" i="3"/>
  <c r="V34" i="3"/>
  <c r="P34" i="3"/>
  <c r="G43" i="3"/>
  <c r="T34" i="3"/>
  <c r="Z34" i="3"/>
  <c r="N34" i="3"/>
  <c r="M34" i="3"/>
  <c r="X34" i="3"/>
  <c r="J34" i="3"/>
  <c r="AC34" i="3"/>
  <c r="AC29" i="3" s="1"/>
  <c r="G27" i="3"/>
  <c r="R33" i="3"/>
  <c r="B31" i="3"/>
  <c r="B25" i="3" s="1"/>
  <c r="F27" i="3"/>
  <c r="N300" i="3" l="1"/>
  <c r="R29" i="3"/>
  <c r="R42" i="3" s="1"/>
  <c r="R44" i="3" s="1"/>
  <c r="R109" i="3" s="1"/>
  <c r="F3" i="12" s="1"/>
  <c r="F131" i="12" s="1"/>
  <c r="F133" i="12" s="1"/>
  <c r="AC42" i="3"/>
  <c r="AC44" i="3" s="1"/>
  <c r="AC109" i="3" s="1"/>
  <c r="E3" i="13" s="1"/>
  <c r="E112" i="13" s="1"/>
  <c r="E131" i="13" s="1"/>
  <c r="E133" i="13" s="1"/>
  <c r="T33" i="3"/>
  <c r="T29" i="3" s="1"/>
  <c r="Q33" i="3"/>
  <c r="Q29" i="3" s="1"/>
  <c r="M33" i="3"/>
  <c r="M29" i="3" s="1"/>
  <c r="K33" i="3"/>
  <c r="K29" i="3" s="1"/>
  <c r="O33" i="3"/>
  <c r="O29" i="3" s="1"/>
  <c r="L33" i="3"/>
  <c r="L29" i="3" s="1"/>
  <c r="S33" i="3"/>
  <c r="S29" i="3" s="1"/>
  <c r="Z33" i="3"/>
  <c r="Z29" i="3" s="1"/>
  <c r="G33" i="3"/>
  <c r="G29" i="3" s="1"/>
  <c r="G42" i="3" s="1"/>
  <c r="G44" i="3" s="1"/>
  <c r="F43" i="3"/>
  <c r="AA33" i="3"/>
  <c r="AA29" i="3" s="1"/>
  <c r="H33" i="3"/>
  <c r="H29" i="3" s="1"/>
  <c r="X33" i="3"/>
  <c r="X29" i="3" s="1"/>
  <c r="U33" i="3"/>
  <c r="U29" i="3" s="1"/>
  <c r="F28" i="3"/>
  <c r="W33" i="3"/>
  <c r="W29" i="3" s="1"/>
  <c r="N33" i="3"/>
  <c r="N29" i="3" s="1"/>
  <c r="I33" i="3"/>
  <c r="I29" i="3" s="1"/>
  <c r="V33" i="3"/>
  <c r="V29" i="3" s="1"/>
  <c r="AB33" i="3"/>
  <c r="AB29" i="3" s="1"/>
  <c r="J33" i="3"/>
  <c r="J29" i="3" s="1"/>
  <c r="Y33" i="3"/>
  <c r="Y29" i="3" s="1"/>
  <c r="P33" i="3"/>
  <c r="P29" i="3" s="1"/>
  <c r="F42" i="3" l="1"/>
  <c r="F44" i="3" s="1"/>
  <c r="G109" i="3"/>
  <c r="G128" i="3" s="1"/>
  <c r="G130" i="3" s="1"/>
  <c r="G143" i="3"/>
  <c r="G147" i="3" s="1"/>
  <c r="G136" i="3" s="1"/>
  <c r="J42" i="3"/>
  <c r="J44" i="3" s="1"/>
  <c r="AA42" i="3"/>
  <c r="AA44" i="3" s="1"/>
  <c r="AA109" i="3" s="1"/>
  <c r="C3" i="13" s="1"/>
  <c r="C112" i="13" s="1"/>
  <c r="C131" i="13" s="1"/>
  <c r="AB42" i="3"/>
  <c r="AB44" i="3" s="1"/>
  <c r="AB109" i="3" s="1"/>
  <c r="D3" i="13" s="1"/>
  <c r="D112" i="13" s="1"/>
  <c r="D131" i="13" s="1"/>
  <c r="D133" i="13" s="1"/>
  <c r="W42" i="3"/>
  <c r="W44" i="3" s="1"/>
  <c r="W109" i="3" s="1"/>
  <c r="K3" i="12" s="1"/>
  <c r="K131" i="12" s="1"/>
  <c r="K133" i="12" s="1"/>
  <c r="U42" i="3"/>
  <c r="U44" i="3" s="1"/>
  <c r="U109" i="3" s="1"/>
  <c r="I3" i="12" s="1"/>
  <c r="I131" i="12" s="1"/>
  <c r="I133" i="12" s="1"/>
  <c r="L42" i="3"/>
  <c r="L44" i="3" s="1"/>
  <c r="Q42" i="3"/>
  <c r="Q44" i="3" s="1"/>
  <c r="Q109" i="3" s="1"/>
  <c r="E3" i="12" s="1"/>
  <c r="E131" i="12" s="1"/>
  <c r="E133" i="12" s="1"/>
  <c r="V42" i="3"/>
  <c r="V44" i="3" s="1"/>
  <c r="V109" i="3" s="1"/>
  <c r="J3" i="12" s="1"/>
  <c r="J131" i="12" s="1"/>
  <c r="J133" i="12" s="1"/>
  <c r="X42" i="3"/>
  <c r="X44" i="3" s="1"/>
  <c r="X109" i="3" s="1"/>
  <c r="L3" i="12" s="1"/>
  <c r="L131" i="12" s="1"/>
  <c r="L133" i="12" s="1"/>
  <c r="O42" i="3"/>
  <c r="O44" i="3" s="1"/>
  <c r="O109" i="3" s="1"/>
  <c r="C3" i="12" s="1"/>
  <c r="C131" i="12" s="1"/>
  <c r="T42" i="3"/>
  <c r="T44" i="3" s="1"/>
  <c r="T109" i="3" s="1"/>
  <c r="H3" i="12" s="1"/>
  <c r="H131" i="12" s="1"/>
  <c r="H133" i="12" s="1"/>
  <c r="P42" i="3"/>
  <c r="P44" i="3" s="1"/>
  <c r="P109" i="3" s="1"/>
  <c r="D3" i="12" s="1"/>
  <c r="D131" i="12" s="1"/>
  <c r="D133" i="12" s="1"/>
  <c r="Y42" i="3"/>
  <c r="Y44" i="3" s="1"/>
  <c r="Y109" i="3" s="1"/>
  <c r="M3" i="12" s="1"/>
  <c r="M131" i="12" s="1"/>
  <c r="I42" i="3"/>
  <c r="I44" i="3" s="1"/>
  <c r="H42" i="3"/>
  <c r="H44" i="3" s="1"/>
  <c r="Z42" i="3"/>
  <c r="Z44" i="3" s="1"/>
  <c r="Z109" i="3" s="1"/>
  <c r="N3" i="12" s="1"/>
  <c r="N131" i="12" s="1"/>
  <c r="K42" i="3"/>
  <c r="K44" i="3" s="1"/>
  <c r="N42" i="3"/>
  <c r="N44" i="3" s="1"/>
  <c r="S42" i="3"/>
  <c r="S44" i="3" s="1"/>
  <c r="S109" i="3" s="1"/>
  <c r="G3" i="12" s="1"/>
  <c r="G131" i="12" s="1"/>
  <c r="G133" i="12" s="1"/>
  <c r="M42" i="3"/>
  <c r="M44" i="3" s="1"/>
  <c r="D19" i="2" l="1"/>
  <c r="F143" i="3"/>
  <c r="F147" i="3" s="1"/>
  <c r="F136" i="3" s="1"/>
  <c r="F109" i="3"/>
  <c r="F128" i="3" s="1"/>
  <c r="M133" i="12"/>
  <c r="N133" i="12"/>
  <c r="J109" i="3"/>
  <c r="J128" i="3" s="1"/>
  <c r="J130" i="3" s="1"/>
  <c r="J143" i="3"/>
  <c r="J147" i="3" s="1"/>
  <c r="J136" i="3" s="1"/>
  <c r="N109" i="3"/>
  <c r="N128" i="3" s="1"/>
  <c r="N143" i="3"/>
  <c r="N147" i="3" s="1"/>
  <c r="N136" i="3" s="1"/>
  <c r="L109" i="3"/>
  <c r="L128" i="3" s="1"/>
  <c r="L130" i="3" s="1"/>
  <c r="L143" i="3"/>
  <c r="L147" i="3" s="1"/>
  <c r="L136" i="3" s="1"/>
  <c r="K143" i="3"/>
  <c r="K147" i="3" s="1"/>
  <c r="K136" i="3" s="1"/>
  <c r="K109" i="3"/>
  <c r="K128" i="3" s="1"/>
  <c r="K130" i="3" s="1"/>
  <c r="M143" i="3"/>
  <c r="M147" i="3" s="1"/>
  <c r="M136" i="3" s="1"/>
  <c r="M109" i="3"/>
  <c r="M128" i="3" s="1"/>
  <c r="I143" i="3"/>
  <c r="I147" i="3" s="1"/>
  <c r="I136" i="3" s="1"/>
  <c r="I109" i="3"/>
  <c r="I128" i="3" s="1"/>
  <c r="I130" i="3" s="1"/>
  <c r="E19" i="2"/>
  <c r="C133" i="13"/>
  <c r="E20" i="2" s="1"/>
  <c r="F130" i="3"/>
  <c r="H109" i="3"/>
  <c r="H128" i="3" s="1"/>
  <c r="H130" i="3" s="1"/>
  <c r="H143" i="3"/>
  <c r="H147" i="3" s="1"/>
  <c r="H136" i="3" s="1"/>
  <c r="C133" i="12"/>
  <c r="C19" i="2" l="1"/>
  <c r="F133" i="3"/>
  <c r="E22" i="2"/>
  <c r="C21" i="2"/>
  <c r="M130" i="3"/>
  <c r="N130" i="3"/>
  <c r="F19" i="2"/>
  <c r="D20" i="2"/>
  <c r="D22" i="2" s="1"/>
  <c r="C20" i="2" l="1"/>
  <c r="C22" i="2"/>
  <c r="G133" i="3"/>
  <c r="F20" i="2"/>
  <c r="G19" i="2"/>
  <c r="G20" i="2" s="1"/>
  <c r="H133" i="3" l="1"/>
  <c r="I133" i="3" s="1"/>
  <c r="J133" i="3" s="1"/>
  <c r="K133" i="3" s="1"/>
  <c r="L133" i="3" s="1"/>
  <c r="M133" i="3" s="1"/>
  <c r="N133" i="3"/>
  <c r="C24" i="2"/>
  <c r="C26" i="2"/>
  <c r="B136" i="12" l="1"/>
  <c r="C136" i="12" s="1"/>
  <c r="D136" i="12" s="1"/>
  <c r="E136" i="12" s="1"/>
  <c r="F136" i="12" s="1"/>
  <c r="G136" i="12" s="1"/>
  <c r="H136" i="12" s="1"/>
  <c r="I136" i="12" s="1"/>
  <c r="J136" i="12" s="1"/>
  <c r="K136" i="12" s="1"/>
  <c r="L136" i="12" s="1"/>
  <c r="M136" i="12" s="1"/>
  <c r="N136" i="12" s="1"/>
  <c r="B136" i="13" s="1"/>
  <c r="C136" i="13" s="1"/>
  <c r="D136" i="13" s="1"/>
  <c r="E136" i="13" s="1"/>
  <c r="F136" i="13" s="1"/>
  <c r="G136" i="13" s="1"/>
  <c r="H136" i="13" s="1"/>
  <c r="I136" i="13" s="1"/>
  <c r="J136" i="13" s="1"/>
  <c r="K136" i="13" s="1"/>
  <c r="L136" i="13" s="1"/>
  <c r="M136" i="13" s="1"/>
  <c r="N136" i="13" s="1"/>
  <c r="C25" i="2" a="1"/>
  <c r="C25" i="2" s="1"/>
  <c r="D25" i="2"/>
  <c r="D26" i="2"/>
  <c r="D24" i="2"/>
  <c r="E24" i="2"/>
  <c r="E26" i="2"/>
  <c r="E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<sst xmlns="http://schemas.openxmlformats.org/spreadsheetml/2006/main" count="957" uniqueCount="350">
  <si>
    <t>How To Reverse Engineer  Valuation</t>
  </si>
  <si>
    <t xml:space="preserve">                      (Copyright 2020 Annett Enterprises LLC)</t>
  </si>
  <si>
    <t>Last Year's Total Revenue (if relevant)</t>
  </si>
  <si>
    <t>How much $$ do you need/want?</t>
  </si>
  <si>
    <t>Hit 3 Year Goals @</t>
  </si>
  <si>
    <t xml:space="preserve">Effective Interest </t>
  </si>
  <si>
    <t>Year</t>
  </si>
  <si>
    <t>% Year 3</t>
  </si>
  <si>
    <t>Revenue</t>
  </si>
  <si>
    <t xml:space="preserve">Force to </t>
  </si>
  <si>
    <t>Multiplier the investor expects (e.g. 2-10X)</t>
  </si>
  <si>
    <t>3 years</t>
  </si>
  <si>
    <t>Amount  $$$$$ the investor hopes for @Exit</t>
  </si>
  <si>
    <t>5 years</t>
  </si>
  <si>
    <t>What % of equity are you giving up (e.g. 5-25%)?</t>
  </si>
  <si>
    <t>7 years</t>
  </si>
  <si>
    <t>What company needs to be worth @ Year 3</t>
  </si>
  <si>
    <t>Multiplier of revenue expected at exit (e.g. 2X)</t>
  </si>
  <si>
    <t>Revenue needed year 3 based upon multiplier</t>
  </si>
  <si>
    <t>&lt;&lt;&lt;MUST BE LEGIT&lt;&lt;&lt;</t>
  </si>
  <si>
    <t>Growth Projection % per year (e.g. 500%)</t>
  </si>
  <si>
    <t>Do I need to make my case?</t>
  </si>
  <si>
    <t xml:space="preserve">Reality Check #1: What is the total market? </t>
  </si>
  <si>
    <t>At year 5 then I will have captured</t>
  </si>
  <si>
    <t>Reality Check #2: If my year 5 is this value then</t>
  </si>
  <si>
    <t xml:space="preserve">NEED TO PROACTIVELY ANSWER </t>
  </si>
  <si>
    <t xml:space="preserve">Yow will be asked questions </t>
  </si>
  <si>
    <t>You should be prepared to answer</t>
  </si>
  <si>
    <t>The may not even ask</t>
  </si>
  <si>
    <t>&lt;1%</t>
  </si>
  <si>
    <t>Unlikely to get questions</t>
  </si>
  <si>
    <t>Customer Segments At Year 3</t>
  </si>
  <si>
    <t>Avg Revenue/Customer</t>
  </si>
  <si>
    <t>Quick Modeling as % of Revenue</t>
  </si>
  <si>
    <t>Customers</t>
  </si>
  <si>
    <t>Your %</t>
  </si>
  <si>
    <t>Adjust by</t>
  </si>
  <si>
    <t>Customer Segments At Year 2</t>
  </si>
  <si>
    <t>Kilter Tilter - Consumer Version</t>
  </si>
  <si>
    <t>Customer Segments At Year 1</t>
  </si>
  <si>
    <t>Kilter Tilter -Therapy Version</t>
  </si>
  <si>
    <t>Kilter Roller</t>
  </si>
  <si>
    <t>Pro Forma - Startup  Factors</t>
  </si>
  <si>
    <t>Calendar</t>
  </si>
  <si>
    <t>Starting Year</t>
  </si>
  <si>
    <t>Startup Capital</t>
  </si>
  <si>
    <t>Starting Month</t>
  </si>
  <si>
    <t>Founder's Draw</t>
  </si>
  <si>
    <t>Year 1</t>
  </si>
  <si>
    <t>Year 2</t>
  </si>
  <si>
    <t>Year 3</t>
  </si>
  <si>
    <t>Year 4</t>
  </si>
  <si>
    <t>Year 5</t>
  </si>
  <si>
    <t>Founder's Name</t>
  </si>
  <si>
    <t>Compensation at Year 3</t>
  </si>
  <si>
    <t>as % of Year 3</t>
  </si>
  <si>
    <t>as % of Year 4</t>
  </si>
  <si>
    <t>Me</t>
  </si>
  <si>
    <t>Total</t>
  </si>
  <si>
    <t>Profit  First</t>
  </si>
  <si>
    <t>% of Income Distributed</t>
  </si>
  <si>
    <t>Include investments</t>
  </si>
  <si>
    <t>Yes</t>
  </si>
  <si>
    <t>Income</t>
  </si>
  <si>
    <t>Distribution</t>
  </si>
  <si>
    <t>Expenses</t>
  </si>
  <si>
    <t>Margin</t>
  </si>
  <si>
    <t>Cash Flow</t>
  </si>
  <si>
    <t>(First Month)</t>
  </si>
  <si>
    <t>Exclude  Depreciation</t>
  </si>
  <si>
    <t>(Amount)</t>
  </si>
  <si>
    <t>Minimum</t>
  </si>
  <si>
    <t>Max Head Count</t>
  </si>
  <si>
    <t>Founders</t>
  </si>
  <si>
    <t>Salaried</t>
  </si>
  <si>
    <t>Full-Time</t>
  </si>
  <si>
    <t>Part-Time</t>
  </si>
  <si>
    <t>Year 1 Income</t>
  </si>
  <si>
    <t>Revenue From Customer Segments</t>
  </si>
  <si>
    <t xml:space="preserve">Number of customers @ </t>
  </si>
  <si>
    <t>Deposit %</t>
  </si>
  <si>
    <t>Delivered in X months</t>
  </si>
  <si>
    <t># of extra months to pay</t>
  </si>
  <si>
    <t># of Customers from R.E.V.</t>
  </si>
  <si>
    <t>Remaining  to match R.E.V.</t>
  </si>
  <si>
    <t>Commission as % of income</t>
  </si>
  <si>
    <t>Fixed Fees/Customer</t>
  </si>
  <si>
    <t xml:space="preserve">Total </t>
  </si>
  <si>
    <t>Total All Segments</t>
  </si>
  <si>
    <t>Additional Revenue</t>
  </si>
  <si>
    <t>Source 1</t>
  </si>
  <si>
    <t>Source 2</t>
  </si>
  <si>
    <t>Source 3</t>
  </si>
  <si>
    <t>Source 4</t>
  </si>
  <si>
    <t>Source 5</t>
  </si>
  <si>
    <t>Funding/Investment</t>
  </si>
  <si>
    <t>Friends and Family</t>
  </si>
  <si>
    <t>Professional  Investors</t>
  </si>
  <si>
    <t>Total All Income</t>
  </si>
  <si>
    <t>Distributions (Profit First)</t>
  </si>
  <si>
    <t>CASH ON HAND</t>
  </si>
  <si>
    <t>Total All Expenses</t>
  </si>
  <si>
    <t>For all founders</t>
  </si>
  <si>
    <t>Returns/Rework</t>
  </si>
  <si>
    <t>Percent of Revenue</t>
  </si>
  <si>
    <t>Marketing Expenses</t>
  </si>
  <si>
    <t>Brand-Related Expenses</t>
  </si>
  <si>
    <t>Owned Media (blogs…etc)</t>
  </si>
  <si>
    <t>Public Relations</t>
  </si>
  <si>
    <t>Content Creation</t>
  </si>
  <si>
    <t>Marketing  Analytics</t>
  </si>
  <si>
    <t>Marketing Research</t>
  </si>
  <si>
    <t>Conferences</t>
  </si>
  <si>
    <t>Trade Shows</t>
  </si>
  <si>
    <t>Marketing Training</t>
  </si>
  <si>
    <t>Sales Support Tools</t>
  </si>
  <si>
    <t>Website Expenses</t>
  </si>
  <si>
    <t>Mobile Platform Expenses</t>
  </si>
  <si>
    <t>Social Media Marketing</t>
  </si>
  <si>
    <t>Affiliate Marketing</t>
  </si>
  <si>
    <t>Traditional Media</t>
  </si>
  <si>
    <t>Fixed Assets</t>
  </si>
  <si>
    <t>See Depreciation Sheet</t>
  </si>
  <si>
    <t>New Acquisitions</t>
  </si>
  <si>
    <t>Depreciation</t>
  </si>
  <si>
    <t>Recurring Expenses</t>
  </si>
  <si>
    <t>Property Related</t>
  </si>
  <si>
    <t>Interest (Mortgage)</t>
  </si>
  <si>
    <t>Rent of Lease (business property)</t>
  </si>
  <si>
    <t>Rent or lease (vehicles, machinery, and equipment)</t>
  </si>
  <si>
    <t>Repairs and maintenance</t>
  </si>
  <si>
    <t>Depletion</t>
  </si>
  <si>
    <t>Other</t>
  </si>
  <si>
    <t>Legal and Professional Services</t>
  </si>
  <si>
    <t>Lawyer</t>
  </si>
  <si>
    <t>Accounting</t>
  </si>
  <si>
    <t>Bookkeeping</t>
  </si>
  <si>
    <t>Insurance</t>
  </si>
  <si>
    <t>Office/General Business</t>
  </si>
  <si>
    <t>Phone</t>
  </si>
  <si>
    <t>Internet</t>
  </si>
  <si>
    <t>Utilities</t>
  </si>
  <si>
    <t>Office supplies</t>
  </si>
  <si>
    <t>Misc. Office Equipment</t>
  </si>
  <si>
    <t>Cleaning Service</t>
  </si>
  <si>
    <t>Taxes and licenses</t>
  </si>
  <si>
    <t>Banking Fees</t>
  </si>
  <si>
    <t>Interest (Banks/Credit)</t>
  </si>
  <si>
    <t>Interest (Other)</t>
  </si>
  <si>
    <t>Travel/Vehicle Related</t>
  </si>
  <si>
    <t>Car and truck expenses</t>
  </si>
  <si>
    <t>Travel/Expenses</t>
  </si>
  <si>
    <t>Deductible meals</t>
  </si>
  <si>
    <t>Mileage</t>
  </si>
  <si>
    <t>Parking/Tools</t>
  </si>
  <si>
    <t>Production Related</t>
  </si>
  <si>
    <t>Overall Material/Supplies</t>
  </si>
  <si>
    <t>Overall Contract labor</t>
  </si>
  <si>
    <t>Material/Supplies</t>
  </si>
  <si>
    <t>Contract labor</t>
  </si>
  <si>
    <t>Packaging</t>
  </si>
  <si>
    <t>Shipping</t>
  </si>
  <si>
    <t>Other expenses</t>
  </si>
  <si>
    <t>Misc. 1</t>
  </si>
  <si>
    <t>Misc. 2</t>
  </si>
  <si>
    <t>Misc. 3</t>
  </si>
  <si>
    <t>Misc. 4</t>
  </si>
  <si>
    <t>Misc. 5</t>
  </si>
  <si>
    <t>Employee Related</t>
  </si>
  <si>
    <t>Description</t>
  </si>
  <si>
    <t>Monthly Salary</t>
  </si>
  <si>
    <t># working</t>
  </si>
  <si>
    <t>Therapist</t>
  </si>
  <si>
    <t>Hourly Full Time</t>
  </si>
  <si>
    <t>Monthly Wages</t>
  </si>
  <si>
    <t>Hourly Part Time</t>
  </si>
  <si>
    <t>Office Admin</t>
  </si>
  <si>
    <t>Founder(s) Status</t>
  </si>
  <si>
    <t>Founder(s) NOT Taxed (in gray below)</t>
  </si>
  <si>
    <t>Founders Head Count</t>
  </si>
  <si>
    <t>Salaried Head Count</t>
  </si>
  <si>
    <t>Full Time Head Count</t>
  </si>
  <si>
    <t>Part Time Head Count</t>
  </si>
  <si>
    <t>Payroll Taxes and Benefits</t>
  </si>
  <si>
    <t>Social Security  (Rate)</t>
  </si>
  <si>
    <t>Social Security  (Base)</t>
  </si>
  <si>
    <t>Medicare</t>
  </si>
  <si>
    <t>Federal Unemployment Tax (FUTA)</t>
  </si>
  <si>
    <t>Federal Unemployment Tax (Base)</t>
  </si>
  <si>
    <t>State Unemployment Tax (SUTA)</t>
  </si>
  <si>
    <t>State Unemployment Tax (Base)</t>
  </si>
  <si>
    <t>Employee Pension Programs</t>
  </si>
  <si>
    <t>Worker's Compensation</t>
  </si>
  <si>
    <t>Employee Health Insurance</t>
  </si>
  <si>
    <t>Other Employee Benefit Programs</t>
  </si>
  <si>
    <t>Category</t>
  </si>
  <si>
    <t>First Used</t>
  </si>
  <si>
    <t>Value @ Time</t>
  </si>
  <si>
    <t>Years Left</t>
  </si>
  <si>
    <t>Salvage Value</t>
  </si>
  <si>
    <t>Method</t>
  </si>
  <si>
    <t>Off sheet</t>
  </si>
  <si>
    <t>Vehicles</t>
  </si>
  <si>
    <t>Small Box Truck (with a Lift)</t>
  </si>
  <si>
    <t>Double Declining Balance</t>
  </si>
  <si>
    <t>Equipment</t>
  </si>
  <si>
    <t>Vacuum Form Machine</t>
  </si>
  <si>
    <t>Year 2 Income</t>
  </si>
  <si>
    <t>Extended Revenue From Year 1</t>
  </si>
  <si>
    <t>Year 3 Income</t>
  </si>
  <si>
    <t>Extended Revenue From Year 2</t>
  </si>
  <si>
    <t>Industry</t>
  </si>
  <si>
    <t>Multiplier of  Revenue</t>
  </si>
  <si>
    <t>Annual Volatility</t>
  </si>
  <si>
    <t>Food Chains</t>
  </si>
  <si>
    <t>Forest Products</t>
  </si>
  <si>
    <t>Trusts Except Educational Religious and Charitable</t>
  </si>
  <si>
    <t>Finance Companies</t>
  </si>
  <si>
    <t>Other Pharmaceuticals</t>
  </si>
  <si>
    <t>Tobacco</t>
  </si>
  <si>
    <t>Oil Refining/Marketing</t>
  </si>
  <si>
    <t>Accident &amp; Health Insurance</t>
  </si>
  <si>
    <t>Transportation Services</t>
  </si>
  <si>
    <t>Property or Casualty Insurers</t>
  </si>
  <si>
    <t>Consumer Specialties</t>
  </si>
  <si>
    <t>Engineering &amp; Construction</t>
  </si>
  <si>
    <t>RETAIL: Building Materials</t>
  </si>
  <si>
    <t>Plastic Products</t>
  </si>
  <si>
    <t>Clothing/Shoe/Accessory Stores</t>
  </si>
  <si>
    <t>Paper</t>
  </si>
  <si>
    <t>Food Distributors</t>
  </si>
  <si>
    <t>Department/Specialty Retail Stores</t>
  </si>
  <si>
    <t>Textiles</t>
  </si>
  <si>
    <t>Coal Mining</t>
  </si>
  <si>
    <t>Aluminum</t>
  </si>
  <si>
    <t>Automotive Aftermarket</t>
  </si>
  <si>
    <t>Pollution Control Equipment</t>
  </si>
  <si>
    <t>Hospital/Nursing Management</t>
  </si>
  <si>
    <t>Integrated oil Companies</t>
  </si>
  <si>
    <t>Auto Parts: O.E.M.</t>
  </si>
  <si>
    <t>Apparel</t>
  </si>
  <si>
    <t>Home Furnishings</t>
  </si>
  <si>
    <t>Meat/Poultry/Fish</t>
  </si>
  <si>
    <t>Consumer Electronics/Appliances</t>
  </si>
  <si>
    <t>Newspapers/Magazines</t>
  </si>
  <si>
    <t>Service to the Health Industry</t>
  </si>
  <si>
    <t>Trucking Freight/Courier Services</t>
  </si>
  <si>
    <t>Electronics Distribution</t>
  </si>
  <si>
    <t>Containers/Packaging</t>
  </si>
  <si>
    <t>Marine Transportation</t>
  </si>
  <si>
    <t>Packaged Foods</t>
  </si>
  <si>
    <t>Professional Services</t>
  </si>
  <si>
    <t>Steel/Iron Ore</t>
  </si>
  <si>
    <t>Computer Manufacturing</t>
  </si>
  <si>
    <t>Electronic Components</t>
  </si>
  <si>
    <t>Consumer Electronics/Video Chains</t>
  </si>
  <si>
    <t>Other Specialty Stores</t>
  </si>
  <si>
    <t>Precious Metals</t>
  </si>
  <si>
    <t>Shoe Manufacturing</t>
  </si>
  <si>
    <t>Catalog/Specialty Distribution</t>
  </si>
  <si>
    <t>Recreational Products/Toys</t>
  </si>
  <si>
    <t>Other Metals and Minerals</t>
  </si>
  <si>
    <t>Farming/Seeds/Milling</t>
  </si>
  <si>
    <t>Computer Software: Programming Data Processing</t>
  </si>
  <si>
    <t>Building Products</t>
  </si>
  <si>
    <t>Air Freight/Delivery Services</t>
  </si>
  <si>
    <t>Homebuilding</t>
  </si>
  <si>
    <t>Building Materials</t>
  </si>
  <si>
    <t>Paints/Coatings</t>
  </si>
  <si>
    <t>Agricultural Chemicals</t>
  </si>
  <si>
    <t>Life Insurance</t>
  </si>
  <si>
    <t>Specialty Insurers</t>
  </si>
  <si>
    <t>Major Banks</t>
  </si>
  <si>
    <t>Aerospace</t>
  </si>
  <si>
    <t>Medical/Nursing Services</t>
  </si>
  <si>
    <t>Major Chemicals</t>
  </si>
  <si>
    <t>Computer peripheral equipment</t>
  </si>
  <si>
    <t>Commercial Banks</t>
  </si>
  <si>
    <t>Oilfield Services/Equipment</t>
  </si>
  <si>
    <t>Tools/Hardware</t>
  </si>
  <si>
    <t>Banks</t>
  </si>
  <si>
    <t>Fluid Controls</t>
  </si>
  <si>
    <t>Broadcasting</t>
  </si>
  <si>
    <t>Natural Gas Distribution</t>
  </si>
  <si>
    <t>Office Equipment/Supplies/Services</t>
  </si>
  <si>
    <t>Wholesale Distributors</t>
  </si>
  <si>
    <t>Ordnance And Accessories</t>
  </si>
  <si>
    <t>Medical Electronics</t>
  </si>
  <si>
    <t>Finance/Investors Services</t>
  </si>
  <si>
    <t>Metal Fabrications</t>
  </si>
  <si>
    <t>Diversified Manufacture</t>
  </si>
  <si>
    <t>Package Goods/Cosmetics</t>
  </si>
  <si>
    <t>Assisted Living Services</t>
  </si>
  <si>
    <t>Military/Government/Technical</t>
  </si>
  <si>
    <t>Specialty Foods</t>
  </si>
  <si>
    <t>Oil/Gas Transmission</t>
  </si>
  <si>
    <t>Motor Vehicles</t>
  </si>
  <si>
    <t>Power Generation</t>
  </si>
  <si>
    <t>Medical Specialties</t>
  </si>
  <si>
    <t>Precision Instruments</t>
  </si>
  <si>
    <t>Biotechnology: Laboratory Analytical Instruments</t>
  </si>
  <si>
    <t>Railroads</t>
  </si>
  <si>
    <t>Diversified Financial Services</t>
  </si>
  <si>
    <t>Internet and Information Services</t>
  </si>
  <si>
    <t>Water Supply</t>
  </si>
  <si>
    <t>Rental/Leasing Companies</t>
  </si>
  <si>
    <t>Savings Institutions</t>
  </si>
  <si>
    <t>Services or Misc. Amusement &amp; Recreation</t>
  </si>
  <si>
    <t>Radio And Television Broadcasting And Communications Equipment</t>
  </si>
  <si>
    <t>Electric Utilities: Central</t>
  </si>
  <si>
    <t>Television Services</t>
  </si>
  <si>
    <t>Electrical Products</t>
  </si>
  <si>
    <t>Diversified Commercial Services</t>
  </si>
  <si>
    <t>Other Transportation</t>
  </si>
  <si>
    <t>Telecommunications Equipment</t>
  </si>
  <si>
    <t>Building operators</t>
  </si>
  <si>
    <t>Movies/Entertainment</t>
  </si>
  <si>
    <t>Industrial Specialties</t>
  </si>
  <si>
    <t>Investment Managers</t>
  </si>
  <si>
    <t>Restaurants</t>
  </si>
  <si>
    <t>Biotechnology: In Vitro &amp; In Vivo Diagnostic Substances</t>
  </si>
  <si>
    <t>Misc Health and Biotechnology Services</t>
  </si>
  <si>
    <t>Industrial Machinery/Components</t>
  </si>
  <si>
    <t>Environmental Services</t>
  </si>
  <si>
    <t>Specialty Chemicals</t>
  </si>
  <si>
    <t>Other Consumer Services</t>
  </si>
  <si>
    <t>Major Pharmaceuticals</t>
  </si>
  <si>
    <t>Beverages (Production/Distribution)</t>
  </si>
  <si>
    <t>Hotels/Resorts</t>
  </si>
  <si>
    <t>Oil &amp; Gas Production</t>
  </si>
  <si>
    <t>Investment Bankers/Brokers/Service</t>
  </si>
  <si>
    <t>Semiconductors</t>
  </si>
  <si>
    <t>Advertising</t>
  </si>
  <si>
    <t>Medical/Dental Instruments</t>
  </si>
  <si>
    <t>Biotechnology: Commercial Physical &amp; Biological Research</t>
  </si>
  <si>
    <t>Multi-Sector Companies</t>
  </si>
  <si>
    <t>Auto Manufacturing</t>
  </si>
  <si>
    <t>Real Estate</t>
  </si>
  <si>
    <t>Finance: Consumer Services</t>
  </si>
  <si>
    <t>Business Services</t>
  </si>
  <si>
    <t>Ophthalmic Goods</t>
  </si>
  <si>
    <t>Managed Health Care</t>
  </si>
  <si>
    <t>Biotechnology: Electromedical &amp; Electrotherapeutic Apparatus</t>
  </si>
  <si>
    <t>Retail: Computer Software &amp; Peripheral Equipment</t>
  </si>
  <si>
    <t>Real Estate Investment Trusts</t>
  </si>
  <si>
    <t>Biotechnology: Biological Products (No Diagnostic Substances)</t>
  </si>
  <si>
    <t>Computer Software: Prepackaged Software</t>
  </si>
  <si>
    <t>Construction/Ag Equipment/Trucks</t>
  </si>
  <si>
    <t>EDP Services</t>
  </si>
  <si>
    <t>Publishing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</si>
</sst>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0.0%"/>
    <numFmt numFmtId="166" formatCode="&quot;$&quot;#,##0.00"/>
    <numFmt numFmtId="167" formatCode="#,##0.0"/>
    <numFmt numFmtId="168" formatCode="0.0"/>
    <numFmt numFmtId="169" formatCode="&quot;$&quot;#,##0.0"/>
    <numFmt numFmtId="170" formatCode="0.0%;[Red]\-0.0%"/>
    <numFmt numFmtId="171" formatCode="&quot;$&quot;#,##0;[Red]&quot;$&quot;#,##0"/>
  </numFmts>
  <fonts count="2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A0101"/>
      <name val="Arial"/>
      <family val="2"/>
    </font>
    <font>
      <sz val="10"/>
      <color rgb="FF0A0101"/>
      <name val="Arial"/>
      <family val="2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name val="Arial"/>
      <family val="2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26"/>
      <color theme="6" tint="-0.249977111117893"/>
      <name val="Calibri"/>
      <family val="2"/>
      <scheme val="minor"/>
    </font>
    <font>
      <b/>
      <sz val="18"/>
      <color theme="6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sz val="10"/>
      <name val="Arial"/>
      <family val="2"/>
    </font>
    <font>
      <sz val="11"/>
      <color rgb="FF212529"/>
      <name val="Arial"/>
      <family val="2"/>
    </font>
    <font>
      <b/>
      <sz val="11"/>
      <color rgb="FF21252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A8B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rgb="FFDDDDDD"/>
      </top>
      <bottom/>
      <diagonal/>
    </border>
  </borders>
  <cellStyleXfs count="8">
    <xf numFmtId="0" fontId="0" fillId="0" borderId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85">
    <xf numFmtId="0" fontId="0" fillId="0" borderId="0" xfId="0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10" fontId="5" fillId="0" borderId="0" xfId="0" applyNumberFormat="1" applyFont="1" applyProtection="1">
      <protection locked="0"/>
    </xf>
    <xf numFmtId="164" fontId="0" fillId="3" borderId="1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9" fontId="0" fillId="3" borderId="4" xfId="0" applyNumberFormat="1" applyFill="1" applyBorder="1" applyProtection="1">
      <protection locked="0"/>
    </xf>
    <xf numFmtId="0" fontId="0" fillId="3" borderId="4" xfId="0" applyFill="1" applyBorder="1" applyProtection="1">
      <protection locked="0"/>
    </xf>
    <xf numFmtId="9" fontId="0" fillId="3" borderId="1" xfId="1" applyFont="1" applyFill="1" applyBorder="1" applyProtection="1">
      <protection locked="0"/>
    </xf>
    <xf numFmtId="164" fontId="0" fillId="3" borderId="2" xfId="0" applyNumberFormat="1" applyFill="1" applyBorder="1" applyProtection="1">
      <protection locked="0"/>
    </xf>
    <xf numFmtId="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166" fontId="0" fillId="3" borderId="1" xfId="0" applyNumberFormat="1" applyFill="1" applyBorder="1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Protection="1">
      <protection locked="0"/>
    </xf>
    <xf numFmtId="0" fontId="3" fillId="0" borderId="0" xfId="0" applyFont="1"/>
    <xf numFmtId="0" fontId="7" fillId="0" borderId="0" xfId="0" applyFont="1" applyAlignment="1">
      <alignment horizontal="left"/>
    </xf>
    <xf numFmtId="0" fontId="0" fillId="4" borderId="0" xfId="0" applyFill="1"/>
    <xf numFmtId="0" fontId="4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9" fontId="0" fillId="0" borderId="3" xfId="0" applyNumberFormat="1" applyBorder="1"/>
    <xf numFmtId="9" fontId="0" fillId="0" borderId="0" xfId="0" applyNumberFormat="1"/>
    <xf numFmtId="0" fontId="0" fillId="6" borderId="0" xfId="0" applyFill="1"/>
    <xf numFmtId="0" fontId="1" fillId="10" borderId="0" xfId="0" applyFont="1" applyFill="1"/>
    <xf numFmtId="0" fontId="0" fillId="9" borderId="0" xfId="0" applyFill="1"/>
    <xf numFmtId="0" fontId="0" fillId="7" borderId="0" xfId="0" applyFill="1"/>
    <xf numFmtId="0" fontId="2" fillId="8" borderId="0" xfId="0" applyFont="1" applyFill="1"/>
    <xf numFmtId="0" fontId="4" fillId="0" borderId="0" xfId="0" applyFont="1" applyAlignment="1">
      <alignment horizontal="center"/>
    </xf>
    <xf numFmtId="164" fontId="2" fillId="0" borderId="3" xfId="0" applyNumberFormat="1" applyFont="1" applyBorder="1" applyProtection="1">
      <protection hidden="1"/>
    </xf>
    <xf numFmtId="9" fontId="0" fillId="5" borderId="0" xfId="0" applyNumberFormat="1" applyFill="1" applyProtection="1">
      <protection hidden="1"/>
    </xf>
    <xf numFmtId="164" fontId="0" fillId="0" borderId="0" xfId="0" applyNumberFormat="1" applyProtection="1">
      <protection hidden="1"/>
    </xf>
    <xf numFmtId="164" fontId="0" fillId="0" borderId="3" xfId="0" applyNumberFormat="1" applyBorder="1" applyProtection="1">
      <protection hidden="1"/>
    </xf>
    <xf numFmtId="165" fontId="0" fillId="0" borderId="3" xfId="0" applyNumberFormat="1" applyBorder="1" applyProtection="1">
      <protection hidden="1"/>
    </xf>
    <xf numFmtId="0" fontId="0" fillId="0" borderId="0" xfId="0" applyProtection="1">
      <protection hidden="1"/>
    </xf>
    <xf numFmtId="164" fontId="0" fillId="0" borderId="5" xfId="0" applyNumberFormat="1" applyBorder="1" applyProtection="1">
      <protection hidden="1"/>
    </xf>
    <xf numFmtId="9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3" fontId="0" fillId="0" borderId="0" xfId="0" applyNumberFormat="1" applyAlignment="1" applyProtection="1">
      <alignment horizontal="center"/>
      <protection hidden="1"/>
    </xf>
    <xf numFmtId="9" fontId="0" fillId="0" borderId="0" xfId="1" applyFont="1" applyAlignment="1" applyProtection="1">
      <alignment horizontal="center"/>
      <protection locked="0"/>
    </xf>
    <xf numFmtId="9" fontId="0" fillId="3" borderId="1" xfId="0" applyNumberFormat="1" applyFill="1" applyBorder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hidden="1"/>
    </xf>
    <xf numFmtId="164" fontId="0" fillId="0" borderId="1" xfId="0" applyNumberFormat="1" applyBorder="1" applyProtection="1">
      <protection hidden="1"/>
    </xf>
    <xf numFmtId="168" fontId="0" fillId="0" borderId="1" xfId="0" applyNumberFormat="1" applyBorder="1" applyProtection="1">
      <protection hidden="1"/>
    </xf>
    <xf numFmtId="9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8" fontId="1" fillId="0" borderId="1" xfId="0" applyNumberFormat="1" applyFont="1" applyBorder="1" applyProtection="1">
      <protection hidden="1"/>
    </xf>
    <xf numFmtId="164" fontId="0" fillId="5" borderId="1" xfId="0" applyNumberFormat="1" applyFill="1" applyBorder="1" applyProtection="1">
      <protection hidden="1"/>
    </xf>
    <xf numFmtId="164" fontId="0" fillId="12" borderId="1" xfId="0" applyNumberFormat="1" applyFill="1" applyBorder="1" applyProtection="1">
      <protection hidden="1"/>
    </xf>
    <xf numFmtId="1" fontId="0" fillId="3" borderId="1" xfId="0" applyNumberFormat="1" applyFill="1" applyBorder="1" applyAlignment="1" applyProtection="1">
      <alignment horizontal="center"/>
      <protection locked="0"/>
    </xf>
    <xf numFmtId="164" fontId="0" fillId="3" borderId="9" xfId="0" applyNumberFormat="1" applyFill="1" applyBorder="1" applyProtection="1">
      <protection locked="0"/>
    </xf>
    <xf numFmtId="164" fontId="0" fillId="3" borderId="10" xfId="0" applyNumberFormat="1" applyFill="1" applyBorder="1" applyAlignment="1" applyProtection="1">
      <alignment horizontal="right"/>
      <protection locked="0"/>
    </xf>
    <xf numFmtId="164" fontId="0" fillId="3" borderId="1" xfId="0" applyNumberFormat="1" applyFill="1" applyBorder="1" applyProtection="1">
      <protection hidden="1"/>
    </xf>
    <xf numFmtId="0" fontId="0" fillId="3" borderId="1" xfId="0" applyFill="1" applyBorder="1" applyProtection="1">
      <protection locked="0"/>
    </xf>
    <xf numFmtId="9" fontId="0" fillId="3" borderId="3" xfId="0" applyNumberFormat="1" applyFill="1" applyBorder="1" applyAlignment="1" applyProtection="1">
      <alignment horizontal="center"/>
      <protection locked="0"/>
    </xf>
    <xf numFmtId="10" fontId="0" fillId="3" borderId="1" xfId="0" applyNumberFormat="1" applyFill="1" applyBorder="1" applyProtection="1">
      <protection locked="0"/>
    </xf>
    <xf numFmtId="10" fontId="0" fillId="3" borderId="9" xfId="0" applyNumberFormat="1" applyFill="1" applyBorder="1" applyProtection="1">
      <protection locked="0"/>
    </xf>
    <xf numFmtId="1" fontId="0" fillId="3" borderId="15" xfId="0" applyNumberFormat="1" applyFill="1" applyBorder="1" applyProtection="1">
      <protection locked="0"/>
    </xf>
    <xf numFmtId="1" fontId="0" fillId="3" borderId="12" xfId="0" applyNumberFormat="1" applyFill="1" applyBorder="1" applyProtection="1">
      <protection locked="0"/>
    </xf>
    <xf numFmtId="1" fontId="0" fillId="3" borderId="13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9" fontId="0" fillId="0" borderId="0" xfId="1" applyFont="1" applyAlignment="1" applyProtection="1">
      <alignment horizontal="right"/>
      <protection locked="0"/>
    </xf>
    <xf numFmtId="1" fontId="0" fillId="0" borderId="3" xfId="0" applyNumberFormat="1" applyBorder="1" applyAlignment="1" applyProtection="1">
      <alignment horizontal="center"/>
      <protection hidden="1"/>
    </xf>
    <xf numFmtId="164" fontId="0" fillId="16" borderId="1" xfId="0" applyNumberFormat="1" applyFill="1" applyBorder="1" applyProtection="1">
      <protection hidden="1"/>
    </xf>
    <xf numFmtId="10" fontId="0" fillId="3" borderId="1" xfId="1" applyNumberFormat="1" applyFont="1" applyFill="1" applyBorder="1" applyProtection="1">
      <protection locked="0"/>
    </xf>
    <xf numFmtId="164" fontId="0" fillId="17" borderId="1" xfId="0" applyNumberFormat="1" applyFill="1" applyBorder="1" applyProtection="1">
      <protection hidden="1"/>
    </xf>
    <xf numFmtId="17" fontId="2" fillId="0" borderId="0" xfId="0" applyNumberFormat="1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2" fillId="0" borderId="0" xfId="0" applyFont="1" applyProtection="1">
      <protection locked="0"/>
    </xf>
    <xf numFmtId="0" fontId="14" fillId="0" borderId="0" xfId="0" applyFont="1" applyAlignment="1" applyProtection="1">
      <alignment horizontal="right"/>
      <protection locked="0"/>
    </xf>
    <xf numFmtId="164" fontId="0" fillId="0" borderId="6" xfId="0" applyNumberFormat="1" applyBorder="1" applyProtection="1">
      <protection locked="0"/>
    </xf>
    <xf numFmtId="0" fontId="15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"/>
      <protection locked="0"/>
    </xf>
    <xf numFmtId="0" fontId="17" fillId="0" borderId="0" xfId="0" applyFont="1" applyProtection="1">
      <protection hidden="1"/>
    </xf>
    <xf numFmtId="0" fontId="15" fillId="0" borderId="0" xfId="0" applyFont="1" applyAlignment="1" applyProtection="1">
      <alignment horizontal="left"/>
      <protection hidden="1"/>
    </xf>
    <xf numFmtId="17" fontId="2" fillId="0" borderId="0" xfId="0" applyNumberFormat="1" applyFont="1" applyAlignment="1" applyProtection="1">
      <alignment horizontal="center"/>
      <protection hidden="1"/>
    </xf>
    <xf numFmtId="0" fontId="2" fillId="0" borderId="0" xfId="0" applyFont="1" applyProtection="1">
      <protection hidden="1"/>
    </xf>
    <xf numFmtId="168" fontId="0" fillId="0" borderId="0" xfId="0" applyNumberFormat="1" applyAlignment="1" applyProtection="1">
      <alignment horizontal="center"/>
      <protection hidden="1"/>
    </xf>
    <xf numFmtId="17" fontId="2" fillId="16" borderId="0" xfId="0" applyNumberFormat="1" applyFont="1" applyFill="1" applyAlignment="1" applyProtection="1">
      <alignment horizontal="center"/>
      <protection hidden="1"/>
    </xf>
    <xf numFmtId="17" fontId="2" fillId="17" borderId="0" xfId="0" applyNumberFormat="1" applyFont="1" applyFill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166" fontId="0" fillId="11" borderId="0" xfId="0" applyNumberFormat="1" applyFill="1" applyProtection="1">
      <protection hidden="1"/>
    </xf>
    <xf numFmtId="5" fontId="11" fillId="13" borderId="1" xfId="0" applyNumberFormat="1" applyFont="1" applyFill="1" applyBorder="1" applyProtection="1">
      <protection hidden="1"/>
    </xf>
    <xf numFmtId="164" fontId="0" fillId="0" borderId="6" xfId="0" applyNumberFormat="1" applyBorder="1" applyProtection="1">
      <protection hidden="1"/>
    </xf>
    <xf numFmtId="164" fontId="0" fillId="16" borderId="14" xfId="0" applyNumberFormat="1" applyFill="1" applyBorder="1" applyProtection="1">
      <protection hidden="1"/>
    </xf>
    <xf numFmtId="164" fontId="0" fillId="17" borderId="14" xfId="0" applyNumberFormat="1" applyFill="1" applyBorder="1" applyProtection="1">
      <protection hidden="1"/>
    </xf>
    <xf numFmtId="0" fontId="14" fillId="0" borderId="0" xfId="0" applyFont="1" applyAlignment="1" applyProtection="1">
      <alignment horizontal="right"/>
      <protection hidden="1"/>
    </xf>
    <xf numFmtId="9" fontId="0" fillId="3" borderId="1" xfId="0" applyNumberFormat="1" applyFill="1" applyBorder="1" applyProtection="1">
      <protection hidden="1"/>
    </xf>
    <xf numFmtId="169" fontId="0" fillId="0" borderId="6" xfId="0" applyNumberFormat="1" applyBorder="1" applyProtection="1">
      <protection hidden="1"/>
    </xf>
    <xf numFmtId="164" fontId="0" fillId="16" borderId="6" xfId="0" applyNumberFormat="1" applyFill="1" applyBorder="1" applyProtection="1">
      <protection hidden="1"/>
    </xf>
    <xf numFmtId="164" fontId="0" fillId="17" borderId="6" xfId="0" applyNumberFormat="1" applyFill="1" applyBorder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164" fontId="0" fillId="0" borderId="7" xfId="0" applyNumberFormat="1" applyBorder="1" applyProtection="1">
      <protection hidden="1"/>
    </xf>
    <xf numFmtId="164" fontId="0" fillId="0" borderId="8" xfId="0" applyNumberFormat="1" applyBorder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21" fillId="0" borderId="0" xfId="7" applyAlignment="1" applyProtection="1">
      <alignment horizontal="center" vertical="center"/>
      <protection hidden="1"/>
    </xf>
    <xf numFmtId="0" fontId="19" fillId="0" borderId="0" xfId="0" applyFont="1" applyProtection="1">
      <protection hidden="1"/>
    </xf>
    <xf numFmtId="8" fontId="0" fillId="0" borderId="6" xfId="0" applyNumberForma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164" fontId="0" fillId="0" borderId="11" xfId="0" applyNumberFormat="1" applyBorder="1" applyProtection="1">
      <protection hidden="1"/>
    </xf>
    <xf numFmtId="0" fontId="15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0" fontId="7" fillId="0" borderId="1" xfId="0" applyFont="1" applyBorder="1" applyAlignment="1" applyProtection="1">
      <alignment horizontal="center"/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0" borderId="1" xfId="0" applyBorder="1" applyProtection="1">
      <protection hidden="1"/>
    </xf>
    <xf numFmtId="164" fontId="0" fillId="12" borderId="6" xfId="0" applyNumberFormat="1" applyFill="1" applyBorder="1" applyProtection="1">
      <protection hidden="1"/>
    </xf>
    <xf numFmtId="164" fontId="0" fillId="5" borderId="6" xfId="0" applyNumberFormat="1" applyFill="1" applyBorder="1" applyProtection="1">
      <protection hidden="1"/>
    </xf>
    <xf numFmtId="164" fontId="0" fillId="12" borderId="14" xfId="0" applyNumberFormat="1" applyFill="1" applyBorder="1" applyProtection="1">
      <protection hidden="1"/>
    </xf>
    <xf numFmtId="17" fontId="2" fillId="12" borderId="0" xfId="0" applyNumberFormat="1" applyFont="1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left"/>
      <protection locked="0"/>
    </xf>
    <xf numFmtId="17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7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23" fillId="0" borderId="0" xfId="0" applyFont="1" applyProtection="1">
      <protection locked="0"/>
    </xf>
    <xf numFmtId="0" fontId="24" fillId="0" borderId="0" xfId="0" applyFont="1" applyProtection="1">
      <protection locked="0"/>
    </xf>
    <xf numFmtId="166" fontId="0" fillId="0" borderId="0" xfId="2" applyNumberFormat="1" applyFont="1" applyFill="1" applyBorder="1" applyProtection="1">
      <protection locked="0"/>
    </xf>
    <xf numFmtId="0" fontId="2" fillId="0" borderId="1" xfId="0" applyFont="1" applyBorder="1" applyAlignment="1" applyProtection="1">
      <alignment horizontal="center"/>
      <protection hidden="1"/>
    </xf>
    <xf numFmtId="17" fontId="2" fillId="0" borderId="1" xfId="0" applyNumberFormat="1" applyFont="1" applyBorder="1" applyAlignment="1" applyProtection="1">
      <alignment horizontal="center"/>
      <protection hidden="1"/>
    </xf>
    <xf numFmtId="166" fontId="2" fillId="0" borderId="1" xfId="0" applyNumberFormat="1" applyFont="1" applyBorder="1" applyAlignment="1" applyProtection="1">
      <alignment horizontal="center"/>
      <protection hidden="1"/>
    </xf>
    <xf numFmtId="1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166" fontId="0" fillId="14" borderId="1" xfId="0" applyNumberFormat="1" applyFill="1" applyBorder="1" applyAlignment="1" applyProtection="1">
      <alignment horizontal="right"/>
      <protection hidden="1"/>
    </xf>
    <xf numFmtId="166" fontId="0" fillId="0" borderId="1" xfId="0" applyNumberFormat="1" applyBorder="1" applyAlignment="1" applyProtection="1">
      <alignment horizontal="right"/>
      <protection hidden="1"/>
    </xf>
    <xf numFmtId="9" fontId="0" fillId="0" borderId="0" xfId="1" applyFont="1" applyProtection="1">
      <protection locked="0"/>
    </xf>
    <xf numFmtId="164" fontId="0" fillId="5" borderId="14" xfId="0" applyNumberFormat="1" applyFill="1" applyBorder="1" applyProtection="1">
      <protection hidden="1"/>
    </xf>
    <xf numFmtId="17" fontId="2" fillId="5" borderId="0" xfId="0" applyNumberFormat="1" applyFont="1" applyFill="1" applyAlignment="1" applyProtection="1">
      <alignment horizontal="center"/>
      <protection hidden="1"/>
    </xf>
    <xf numFmtId="164" fontId="0" fillId="0" borderId="14" xfId="0" applyNumberFormat="1" applyBorder="1" applyProtection="1">
      <protection hidden="1"/>
    </xf>
    <xf numFmtId="0" fontId="9" fillId="0" borderId="0" xfId="0" applyFont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13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7" fillId="0" borderId="0" xfId="0" applyFont="1" applyProtection="1">
      <protection hidden="1"/>
    </xf>
    <xf numFmtId="9" fontId="0" fillId="0" borderId="1" xfId="0" applyNumberFormat="1" applyBorder="1" applyAlignment="1" applyProtection="1">
      <alignment horizontal="center"/>
      <protection hidden="1"/>
    </xf>
    <xf numFmtId="0" fontId="25" fillId="0" borderId="0" xfId="0" applyFont="1" applyAlignment="1" applyProtection="1">
      <alignment horizontal="right"/>
      <protection hidden="1"/>
    </xf>
    <xf numFmtId="0" fontId="12" fillId="0" borderId="0" xfId="0" applyFont="1" applyAlignment="1" applyProtection="1">
      <alignment horizontal="right"/>
      <protection hidden="1"/>
    </xf>
    <xf numFmtId="8" fontId="0" fillId="0" borderId="3" xfId="0" applyNumberFormat="1" applyBorder="1" applyProtection="1">
      <protection hidden="1"/>
    </xf>
    <xf numFmtId="0" fontId="9" fillId="0" borderId="0" xfId="0" applyFont="1" applyAlignment="1" applyProtection="1">
      <alignment horizontal="left"/>
      <protection hidden="1"/>
    </xf>
    <xf numFmtId="165" fontId="0" fillId="0" borderId="3" xfId="0" applyNumberFormat="1" applyBorder="1" applyAlignment="1" applyProtection="1">
      <alignment horizontal="right"/>
      <protection hidden="1"/>
    </xf>
    <xf numFmtId="0" fontId="20" fillId="0" borderId="0" xfId="0" applyFont="1" applyAlignment="1" applyProtection="1">
      <alignment horizontal="right"/>
      <protection hidden="1"/>
    </xf>
    <xf numFmtId="0" fontId="18" fillId="0" borderId="0" xfId="0" applyFont="1" applyAlignment="1" applyProtection="1">
      <alignment horizontal="center"/>
      <protection hidden="1"/>
    </xf>
    <xf numFmtId="17" fontId="22" fillId="0" borderId="3" xfId="0" applyNumberFormat="1" applyFont="1" applyBorder="1" applyAlignment="1" applyProtection="1">
      <alignment horizontal="center"/>
      <protection hidden="1"/>
    </xf>
    <xf numFmtId="0" fontId="0" fillId="11" borderId="3" xfId="0" applyFill="1" applyBorder="1" applyProtection="1">
      <protection hidden="1"/>
    </xf>
    <xf numFmtId="8" fontId="0" fillId="0" borderId="3" xfId="0" applyNumberFormat="1" applyBorder="1" applyAlignment="1" applyProtection="1">
      <alignment horizontal="right"/>
      <protection hidden="1"/>
    </xf>
    <xf numFmtId="8" fontId="0" fillId="11" borderId="3" xfId="0" applyNumberFormat="1" applyFill="1" applyBorder="1" applyProtection="1">
      <protection hidden="1"/>
    </xf>
    <xf numFmtId="0" fontId="7" fillId="0" borderId="0" xfId="0" applyFont="1" applyAlignment="1" applyProtection="1">
      <alignment horizontal="right"/>
      <protection hidden="1"/>
    </xf>
    <xf numFmtId="0" fontId="0" fillId="3" borderId="1" xfId="0" applyFill="1" applyBorder="1" applyAlignment="1" applyProtection="1">
      <alignment horizontal="right"/>
      <protection locked="0"/>
    </xf>
    <xf numFmtId="166" fontId="23" fillId="0" borderId="0" xfId="0" applyNumberFormat="1" applyFont="1" applyProtection="1">
      <protection locked="0"/>
    </xf>
    <xf numFmtId="9" fontId="2" fillId="0" borderId="3" xfId="0" applyNumberFormat="1" applyFont="1" applyBorder="1" applyProtection="1">
      <protection hidden="1"/>
    </xf>
    <xf numFmtId="9" fontId="0" fillId="0" borderId="0" xfId="1" applyFont="1" applyAlignment="1" applyProtection="1">
      <alignment horizontal="center"/>
      <protection hidden="1"/>
    </xf>
    <xf numFmtId="165" fontId="6" fillId="0" borderId="0" xfId="0" applyNumberFormat="1" applyFont="1" applyAlignment="1" applyProtection="1">
      <alignment horizontal="center"/>
      <protection hidden="1"/>
    </xf>
    <xf numFmtId="0" fontId="27" fillId="0" borderId="0" xfId="0" applyFont="1" applyAlignment="1">
      <alignment horizontal="center"/>
    </xf>
    <xf numFmtId="0" fontId="26" fillId="18" borderId="0" xfId="0" applyFont="1" applyFill="1" applyAlignment="1">
      <alignment horizontal="center" vertical="top" wrapText="1"/>
    </xf>
    <xf numFmtId="0" fontId="26" fillId="18" borderId="16" xfId="0" applyFont="1" applyFill="1" applyBorder="1" applyAlignment="1">
      <alignment horizontal="center" vertical="top" wrapText="1"/>
    </xf>
    <xf numFmtId="0" fontId="26" fillId="20" borderId="16" xfId="0" applyFont="1" applyFill="1" applyBorder="1" applyAlignment="1">
      <alignment horizontal="center" vertical="top" wrapText="1"/>
    </xf>
    <xf numFmtId="0" fontId="26" fillId="19" borderId="16" xfId="0" applyFont="1" applyFill="1" applyBorder="1" applyAlignment="1">
      <alignment horizontal="center" vertical="top" wrapText="1"/>
    </xf>
    <xf numFmtId="10" fontId="26" fillId="18" borderId="0" xfId="0" applyNumberFormat="1" applyFont="1" applyFill="1" applyAlignment="1">
      <alignment horizontal="center" vertical="top" wrapText="1"/>
    </xf>
    <xf numFmtId="10" fontId="26" fillId="18" borderId="16" xfId="0" applyNumberFormat="1" applyFont="1" applyFill="1" applyBorder="1" applyAlignment="1">
      <alignment horizontal="center" vertical="top" wrapText="1"/>
    </xf>
    <xf numFmtId="10" fontId="26" fillId="20" borderId="16" xfId="0" applyNumberFormat="1" applyFont="1" applyFill="1" applyBorder="1" applyAlignment="1">
      <alignment horizontal="center" vertical="top" wrapText="1"/>
    </xf>
    <xf numFmtId="10" fontId="26" fillId="19" borderId="16" xfId="0" applyNumberFormat="1" applyFont="1" applyFill="1" applyBorder="1" applyAlignment="1">
      <alignment horizontal="center" vertical="top" wrapText="1"/>
    </xf>
    <xf numFmtId="165" fontId="0" fillId="0" borderId="0" xfId="0" applyNumberFormat="1" applyAlignment="1" applyProtection="1">
      <alignment horizontal="center"/>
      <protection locked="0"/>
    </xf>
    <xf numFmtId="167" fontId="0" fillId="0" borderId="0" xfId="0" applyNumberFormat="1" applyProtection="1">
      <protection locked="0"/>
    </xf>
    <xf numFmtId="165" fontId="0" fillId="3" borderId="1" xfId="1" applyNumberFormat="1" applyFont="1" applyFill="1" applyBorder="1" applyProtection="1">
      <protection locked="0"/>
    </xf>
    <xf numFmtId="170" fontId="0" fillId="0" borderId="0" xfId="0" applyNumberFormat="1" applyProtection="1">
      <protection locked="0"/>
    </xf>
    <xf numFmtId="165" fontId="0" fillId="21" borderId="0" xfId="0" applyNumberFormat="1" applyFill="1" applyAlignment="1" applyProtection="1">
      <alignment horizontal="center" vertical="center"/>
      <protection locked="0"/>
    </xf>
    <xf numFmtId="166" fontId="0" fillId="3" borderId="0" xfId="0" applyNumberFormat="1" applyFill="1" applyProtection="1">
      <protection locked="0"/>
    </xf>
    <xf numFmtId="171" fontId="0" fillId="0" borderId="0" xfId="0" applyNumberFormat="1" applyProtection="1">
      <protection locked="0"/>
    </xf>
    <xf numFmtId="0" fontId="26" fillId="18" borderId="0" xfId="0" applyFont="1" applyFill="1" applyAlignment="1">
      <alignment horizontal="left" vertical="top" wrapText="1"/>
    </xf>
    <xf numFmtId="0" fontId="26" fillId="18" borderId="16" xfId="0" applyFont="1" applyFill="1" applyBorder="1" applyAlignment="1">
      <alignment horizontal="left" vertical="top" wrapText="1"/>
    </xf>
    <xf numFmtId="0" fontId="26" fillId="20" borderId="16" xfId="0" applyFont="1" applyFill="1" applyBorder="1" applyAlignment="1">
      <alignment horizontal="left" vertical="top" wrapText="1"/>
    </xf>
    <xf numFmtId="0" fontId="26" fillId="19" borderId="16" xfId="0" applyFont="1" applyFill="1" applyBorder="1" applyAlignment="1">
      <alignment horizontal="left" vertical="top" wrapText="1"/>
    </xf>
  </cellXfs>
  <cellStyles count="8">
    <cellStyle name="Comma 2" xfId="4" xr:uid="{00000000-0005-0000-0000-000000000000}"/>
    <cellStyle name="Currency" xfId="2" builtinId="4"/>
    <cellStyle name="Currency 2" xfId="5" xr:uid="{00000000-0005-0000-0000-000002000000}"/>
    <cellStyle name="Hyperlink" xfId="7" builtinId="8"/>
    <cellStyle name="Normal" xfId="0" builtinId="0"/>
    <cellStyle name="Normal 2" xfId="3" xr:uid="{00000000-0005-0000-0000-000005000000}"/>
    <cellStyle name="Percent" xfId="1" builtinId="5"/>
    <cellStyle name="Percent 2" xfId="6" xr:uid="{00000000-0005-0000-0000-000007000000}"/>
  </cellStyles>
  <dxfs count="0"/>
  <tableStyles count="0" defaultTableStyle="TableStyleMedium2" defaultPivotStyle="PivotStyleLight16"/>
  <colors>
    <mruColors>
      <color rgb="FFFFFF99"/>
      <color rgb="FFEA8B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 by</a:t>
            </a:r>
            <a:r>
              <a:rPr lang="en-US" baseline="0"/>
              <a:t> Year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'Reverse Engineering Valuation'!$H$5</c:f>
              <c:strCache>
                <c:ptCount val="1"/>
                <c:pt idx="0">
                  <c:v>Revenue</c:v>
                </c:pt>
              </c:strCache>
            </c:strRef>
          </c:tx>
          <c:spPr>
            <a:ln>
              <a:noFill/>
            </a:ln>
          </c:spPr>
          <c:trendline>
            <c:spPr>
              <a:ln w="22225">
                <a:solidFill>
                  <a:schemeClr val="accent3"/>
                </a:solidFill>
              </a:ln>
            </c:spPr>
            <c:trendlineType val="exp"/>
            <c:dispRSqr val="0"/>
            <c:dispEq val="0"/>
          </c:trendline>
          <c:cat>
            <c:numRef>
              <c:f>'Reverse Engineering Valuation'!$F$7:$F$11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'Reverse Engineering Valuation'!$H$7:$H$11</c:f>
              <c:numCache>
                <c:formatCode>"$"#,##0</c:formatCode>
                <c:ptCount val="5"/>
                <c:pt idx="0">
                  <c:v>50000</c:v>
                </c:pt>
                <c:pt idx="1">
                  <c:v>250000</c:v>
                </c:pt>
                <c:pt idx="2">
                  <c:v>1250000</c:v>
                </c:pt>
                <c:pt idx="3">
                  <c:v>6250000</c:v>
                </c:pt>
                <c:pt idx="4">
                  <c:v>31250000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93-4CDC-9CE3-386BFEA07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42760"/>
        <c:axId val="534945112"/>
      </c:lineChart>
      <c:catAx>
        <c:axId val="53494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4945112"/>
        <c:crosses val="autoZero"/>
        <c:auto val="1"/>
        <c:lblAlgn val="ctr"/>
        <c:lblOffset val="100"/>
        <c:noMultiLvlLbl val="0"/>
      </c:catAx>
      <c:valAx>
        <c:axId val="534945112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534942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 by Year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4754938420041122"/>
          <c:y val="0.20220074634006316"/>
          <c:w val="0.80620385231248726"/>
          <c:h val="0.67342715855349278"/>
        </c:manualLayout>
      </c:layout>
      <c:scatterChart>
        <c:scatterStyle val="lineMarker"/>
        <c:varyColors val="0"/>
        <c:ser>
          <c:idx val="0"/>
          <c:order val="0"/>
          <c:tx>
            <c:v>Zero-One</c:v>
          </c:tx>
          <c:spPr>
            <a:ln w="28575">
              <a:solidFill>
                <a:schemeClr val="accent1"/>
              </a:solidFill>
            </a:ln>
          </c:spPr>
          <c:marker>
            <c:symbol val="triangle"/>
            <c:size val="7"/>
          </c:marker>
          <c:trendline>
            <c:spPr>
              <a:ln w="25400">
                <a:solidFill>
                  <a:schemeClr val="accent1"/>
                </a:solidFill>
              </a:ln>
            </c:spPr>
            <c:trendlineType val="linear"/>
            <c:dispRSqr val="0"/>
            <c:dispEq val="0"/>
          </c:trendline>
          <c:xVal>
            <c:numRef>
              <c:f>'Reverse Engineering Valuation'!$F$6:$F$7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'Reverse Engineering Valuation'!$H$6:$H$7</c:f>
              <c:numCache>
                <c:formatCode>"$"#,##0</c:formatCode>
                <c:ptCount val="2"/>
                <c:pt idx="0">
                  <c:v>0</c:v>
                </c:pt>
                <c:pt idx="1">
                  <c:v>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B0-4CC6-8E09-DC75BD7C6E3A}"/>
            </c:ext>
          </c:extLst>
        </c:ser>
        <c:ser>
          <c:idx val="1"/>
          <c:order val="1"/>
          <c:tx>
            <c:v>One-Five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trendline>
            <c:spPr>
              <a:ln w="25400">
                <a:solidFill>
                  <a:schemeClr val="accent3"/>
                </a:solidFill>
              </a:ln>
            </c:spPr>
            <c:trendlineType val="exp"/>
            <c:dispRSqr val="0"/>
            <c:dispEq val="0"/>
          </c:trendline>
          <c:xVal>
            <c:numRef>
              <c:f>'Reverse Engineering Valuation'!$F$7:$F$11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'Reverse Engineering Valuation'!$H$7:$H$11</c:f>
              <c:numCache>
                <c:formatCode>"$"#,##0</c:formatCode>
                <c:ptCount val="5"/>
                <c:pt idx="0">
                  <c:v>50000</c:v>
                </c:pt>
                <c:pt idx="1">
                  <c:v>250000</c:v>
                </c:pt>
                <c:pt idx="2">
                  <c:v>1250000</c:v>
                </c:pt>
                <c:pt idx="3">
                  <c:v>6250000</c:v>
                </c:pt>
                <c:pt idx="4">
                  <c:v>31250000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B0-4CC6-8E09-DC75BD7C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938056"/>
        <c:axId val="534944328"/>
      </c:scatterChart>
      <c:valAx>
        <c:axId val="534938056"/>
        <c:scaling>
          <c:orientation val="minMax"/>
          <c:max val="5"/>
        </c:scaling>
        <c:delete val="0"/>
        <c:axPos val="b"/>
        <c:numFmt formatCode="General" sourceLinked="1"/>
        <c:majorTickMark val="out"/>
        <c:minorTickMark val="none"/>
        <c:tickLblPos val="nextTo"/>
        <c:crossAx val="534944328"/>
        <c:crosses val="autoZero"/>
        <c:crossBetween val="midCat"/>
        <c:majorUnit val="1"/>
        <c:minorUnit val="0.5"/>
      </c:valAx>
      <c:valAx>
        <c:axId val="534944328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534938056"/>
        <c:crossesAt val="0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'Year 1'!$C$132:$N$132</c:f>
              <c:numCache>
                <c:formatCode>mmm\-yy</c:formatCode>
                <c:ptCount val="12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</c:numCache>
            </c:numRef>
          </c:cat>
          <c:val>
            <c:numRef>
              <c:f>'Year 1'!$C$133:$N$133</c:f>
              <c:numCache>
                <c:formatCode>"$"#,##0.00_);[Red]\("$"#,##0.00\)</c:formatCode>
                <c:ptCount val="12"/>
                <c:pt idx="0">
                  <c:v>6263.4523813690466</c:v>
                </c:pt>
                <c:pt idx="1">
                  <c:v>-26594.130112261904</c:v>
                </c:pt>
                <c:pt idx="2">
                  <c:v>64680.935394107139</c:v>
                </c:pt>
                <c:pt idx="3">
                  <c:v>57402.176900476188</c:v>
                </c:pt>
                <c:pt idx="4">
                  <c:v>50402.383531845233</c:v>
                </c:pt>
                <c:pt idx="5">
                  <c:v>44660.238163214279</c:v>
                </c:pt>
                <c:pt idx="6">
                  <c:v>37660.444794583324</c:v>
                </c:pt>
                <c:pt idx="7">
                  <c:v>27660.651425952368</c:v>
                </c:pt>
                <c:pt idx="8">
                  <c:v>17289.823182321416</c:v>
                </c:pt>
                <c:pt idx="9">
                  <c:v>3772.8189386904614</c:v>
                </c:pt>
                <c:pt idx="10">
                  <c:v>-1261.3961799404906</c:v>
                </c:pt>
                <c:pt idx="11">
                  <c:v>117774.20870142855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9-44F4-9082-0C45F510E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498384"/>
        <c:axId val="531500736"/>
      </c:barChart>
      <c:dateAx>
        <c:axId val="5314983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500736"/>
        <c:crosses val="autoZero"/>
        <c:auto val="1"/>
        <c:lblOffset val="100"/>
        <c:baseTimeUnit val="months"/>
      </c:dateAx>
      <c:valAx>
        <c:axId val="5315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9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Depreciation</a:t>
            </a:r>
            <a:r>
              <a:rPr lang="en-US" baseline="0"/>
              <a:t> Off Sheet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728495015843791"/>
          <c:y val="0.19480351414406533"/>
          <c:w val="0.60997337259147988"/>
          <c:h val="0.68921660834062404"/>
        </c:manualLayout>
      </c:layout>
      <c:barChart>
        <c:barDir val="col"/>
        <c:grouping val="stacked"/>
        <c:varyColors val="0"/>
        <c:ser>
          <c:idx val="9"/>
          <c:order val="0"/>
          <c:tx>
            <c:v>Item 10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Depreciation!$H$11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6-42E0-9C8A-F7EB1E3EB13A}"/>
            </c:ext>
          </c:extLst>
        </c:ser>
        <c:ser>
          <c:idx val="8"/>
          <c:order val="1"/>
          <c:tx>
            <c:v>Item 9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Depreciation!$H$10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6-42E0-9C8A-F7EB1E3EB13A}"/>
            </c:ext>
          </c:extLst>
        </c:ser>
        <c:ser>
          <c:idx val="7"/>
          <c:order val="2"/>
          <c:tx>
            <c:v>Item 8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Depreciation!$H$9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6-42E0-9C8A-F7EB1E3EB13A}"/>
            </c:ext>
          </c:extLst>
        </c:ser>
        <c:ser>
          <c:idx val="6"/>
          <c:order val="3"/>
          <c:tx>
            <c:v>Item 7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Depreciation!$H$8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6-42E0-9C8A-F7EB1E3EB13A}"/>
            </c:ext>
          </c:extLst>
        </c:ser>
        <c:ser>
          <c:idx val="5"/>
          <c:order val="4"/>
          <c:tx>
            <c:v>Item 6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Depreciation!$H$7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6-42E0-9C8A-F7EB1E3EB13A}"/>
            </c:ext>
          </c:extLst>
        </c:ser>
        <c:ser>
          <c:idx val="4"/>
          <c:order val="5"/>
          <c:tx>
            <c:v>Item 5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Depreciation!$H$6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6-42E0-9C8A-F7EB1E3EB13A}"/>
            </c:ext>
          </c:extLst>
        </c:ser>
        <c:ser>
          <c:idx val="3"/>
          <c:order val="6"/>
          <c:tx>
            <c:v>Item 4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[1]Depreciation!$H$5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3C66-42E0-9C8A-F7EB1E3EB13A}"/>
            </c:ext>
          </c:extLst>
        </c:ser>
        <c:ser>
          <c:idx val="2"/>
          <c:order val="7"/>
          <c:tx>
            <c:v>Item 3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[1]Depreciation!$H$4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C66-42E0-9C8A-F7EB1E3EB13A}"/>
            </c:ext>
          </c:extLst>
        </c:ser>
        <c:ser>
          <c:idx val="1"/>
          <c:order val="8"/>
          <c:tx>
            <c:v>Item 2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Depreciation!$H$3</c:f>
              <c:numCache>
                <c:formatCode>"$"#,##0.00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3C66-42E0-9C8A-F7EB1E3EB13A}"/>
            </c:ext>
          </c:extLst>
        </c:ser>
        <c:ser>
          <c:idx val="0"/>
          <c:order val="9"/>
          <c:tx>
            <c:v>Item 1</c:v>
          </c:tx>
          <c:invertIfNegative val="0"/>
          <c:cat>
            <c:strLit>
              <c:ptCount val="1"/>
              <c:pt idx="0">
                <c:v>Beyond Three Years...</c:v>
              </c:pt>
            </c:strLit>
          </c:cat>
          <c:val>
            <c:numRef>
              <c:f>Depreciation!$H$2</c:f>
              <c:numCache>
                <c:formatCode>"$"#,##0.00</c:formatCode>
                <c:ptCount val="1"/>
                <c:pt idx="0">
                  <c:v>9577.26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6-42E0-9C8A-F7EB1E3EB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7709344"/>
        <c:axId val="537706992"/>
      </c:barChart>
      <c:catAx>
        <c:axId val="53770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37706992"/>
        <c:crosses val="autoZero"/>
        <c:auto val="1"/>
        <c:lblAlgn val="ctr"/>
        <c:lblOffset val="100"/>
        <c:noMultiLvlLbl val="0"/>
      </c:catAx>
      <c:valAx>
        <c:axId val="537706992"/>
        <c:scaling>
          <c:orientation val="minMax"/>
        </c:scaling>
        <c:delete val="0"/>
        <c:axPos val="l"/>
        <c:majorGridlines/>
        <c:numFmt formatCode="&quot;$&quot;#,##0.00" sourceLinked="1"/>
        <c:majorTickMark val="none"/>
        <c:minorTickMark val="none"/>
        <c:tickLblPos val="nextTo"/>
        <c:crossAx val="537709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Depreciation</a:t>
            </a:r>
            <a:r>
              <a:rPr lang="en-US" baseline="0"/>
              <a:t> by Item #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63497375328084"/>
          <c:y val="0.19480351414406533"/>
          <c:w val="0.7199765987989365"/>
          <c:h val="0.68921660834062404"/>
        </c:manualLayout>
      </c:layout>
      <c:barChart>
        <c:barDir val="col"/>
        <c:grouping val="stacked"/>
        <c:varyColors val="0"/>
        <c:ser>
          <c:idx val="9"/>
          <c:order val="0"/>
          <c:tx>
            <c:v>Item 10</c:v>
          </c:tx>
          <c:invertIfNegative val="0"/>
          <c:val>
            <c:numRef>
              <c:f>Depreciation!$I$11:$AR$11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F-42AB-9886-75B7E0A34C6B}"/>
            </c:ext>
          </c:extLst>
        </c:ser>
        <c:ser>
          <c:idx val="8"/>
          <c:order val="1"/>
          <c:tx>
            <c:v>Item 9</c:v>
          </c:tx>
          <c:invertIfNegative val="0"/>
          <c:val>
            <c:numRef>
              <c:f>Depreciation!$I$10:$AR$10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FF-42AB-9886-75B7E0A34C6B}"/>
            </c:ext>
          </c:extLst>
        </c:ser>
        <c:ser>
          <c:idx val="7"/>
          <c:order val="2"/>
          <c:tx>
            <c:v>Item 8</c:v>
          </c:tx>
          <c:invertIfNegative val="0"/>
          <c:val>
            <c:numRef>
              <c:f>Depreciation!$I$9:$AR$9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FF-42AB-9886-75B7E0A34C6B}"/>
            </c:ext>
          </c:extLst>
        </c:ser>
        <c:ser>
          <c:idx val="6"/>
          <c:order val="3"/>
          <c:tx>
            <c:v>Item 7</c:v>
          </c:tx>
          <c:invertIfNegative val="0"/>
          <c:val>
            <c:numRef>
              <c:f>Depreciation!$I$8:$AR$8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FF-42AB-9886-75B7E0A34C6B}"/>
            </c:ext>
          </c:extLst>
        </c:ser>
        <c:ser>
          <c:idx val="5"/>
          <c:order val="4"/>
          <c:tx>
            <c:v>Item 6</c:v>
          </c:tx>
          <c:invertIfNegative val="0"/>
          <c:val>
            <c:numRef>
              <c:f>Depreciation!$I$7:$AR$7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FF-42AB-9886-75B7E0A34C6B}"/>
            </c:ext>
          </c:extLst>
        </c:ser>
        <c:ser>
          <c:idx val="4"/>
          <c:order val="5"/>
          <c:tx>
            <c:v>Item 5</c:v>
          </c:tx>
          <c:invertIfNegative val="0"/>
          <c:val>
            <c:numRef>
              <c:f>Depreciation!$I$6:$AR$6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FF-42AB-9886-75B7E0A34C6B}"/>
            </c:ext>
          </c:extLst>
        </c:ser>
        <c:ser>
          <c:idx val="3"/>
          <c:order val="6"/>
          <c:tx>
            <c:v>Item 4</c:v>
          </c:tx>
          <c:invertIfNegative val="0"/>
          <c:val>
            <c:numRef>
              <c:f>Depreciation!$I$5:$AR$5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FF-42AB-9886-75B7E0A34C6B}"/>
            </c:ext>
          </c:extLst>
        </c:ser>
        <c:ser>
          <c:idx val="2"/>
          <c:order val="7"/>
          <c:tx>
            <c:v>Item 3</c:v>
          </c:tx>
          <c:invertIfNegative val="0"/>
          <c:val>
            <c:numRef>
              <c:f>Depreciation!$I$4:$AR$4</c:f>
              <c:numCache>
                <c:formatCode>"$"#,##0.00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FF-42AB-9886-75B7E0A34C6B}"/>
            </c:ext>
          </c:extLst>
        </c:ser>
        <c:ser>
          <c:idx val="1"/>
          <c:order val="8"/>
          <c:tx>
            <c:v>Item 2</c:v>
          </c:tx>
          <c:invertIfNegative val="0"/>
          <c:val>
            <c:numRef>
              <c:f>Depreciation!$I$3:$AR$3</c:f>
              <c:numCache>
                <c:formatCode>"$"#,##0.00</c:formatCode>
                <c:ptCount val="36"/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FF-42AB-9886-75B7E0A34C6B}"/>
            </c:ext>
          </c:extLst>
        </c:ser>
        <c:ser>
          <c:idx val="0"/>
          <c:order val="9"/>
          <c:tx>
            <c:v>Item 1</c:v>
          </c:tx>
          <c:invertIfNegative val="0"/>
          <c:val>
            <c:numRef>
              <c:f>Depreciation!$I$2:$AR$2</c:f>
              <c:numCache>
                <c:formatCode>"$"#,##0.00</c:formatCode>
                <c:ptCount val="36"/>
                <c:pt idx="0">
                  <c:v>952.38095238095241</c:v>
                </c:pt>
                <c:pt idx="1">
                  <c:v>952.38095238095241</c:v>
                </c:pt>
                <c:pt idx="2">
                  <c:v>952.38095238095241</c:v>
                </c:pt>
                <c:pt idx="3">
                  <c:v>952.38095238095241</c:v>
                </c:pt>
                <c:pt idx="4">
                  <c:v>952.38095238095241</c:v>
                </c:pt>
                <c:pt idx="5">
                  <c:v>952.38095238095241</c:v>
                </c:pt>
                <c:pt idx="6">
                  <c:v>952.38095238095241</c:v>
                </c:pt>
                <c:pt idx="7">
                  <c:v>952.38095238095241</c:v>
                </c:pt>
                <c:pt idx="8">
                  <c:v>952.38095238095241</c:v>
                </c:pt>
                <c:pt idx="9">
                  <c:v>952.38095238095241</c:v>
                </c:pt>
                <c:pt idx="10">
                  <c:v>952.38095238095241</c:v>
                </c:pt>
                <c:pt idx="11">
                  <c:v>952.38095238095241</c:v>
                </c:pt>
                <c:pt idx="12">
                  <c:v>680.27210884353747</c:v>
                </c:pt>
                <c:pt idx="13">
                  <c:v>680.27210884353747</c:v>
                </c:pt>
                <c:pt idx="14">
                  <c:v>680.27210884353747</c:v>
                </c:pt>
                <c:pt idx="15">
                  <c:v>680.27210884353747</c:v>
                </c:pt>
                <c:pt idx="16">
                  <c:v>680.27210884353747</c:v>
                </c:pt>
                <c:pt idx="17">
                  <c:v>680.27210884353747</c:v>
                </c:pt>
                <c:pt idx="18">
                  <c:v>680.27210884353747</c:v>
                </c:pt>
                <c:pt idx="19">
                  <c:v>680.27210884353747</c:v>
                </c:pt>
                <c:pt idx="20">
                  <c:v>680.27210884353747</c:v>
                </c:pt>
                <c:pt idx="21">
                  <c:v>680.27210884353747</c:v>
                </c:pt>
                <c:pt idx="22">
                  <c:v>680.27210884353747</c:v>
                </c:pt>
                <c:pt idx="23">
                  <c:v>680.27210884353747</c:v>
                </c:pt>
                <c:pt idx="24">
                  <c:v>485.90864917395533</c:v>
                </c:pt>
                <c:pt idx="25">
                  <c:v>485.90864917395533</c:v>
                </c:pt>
                <c:pt idx="26">
                  <c:v>485.90864917395533</c:v>
                </c:pt>
                <c:pt idx="27">
                  <c:v>485.90864917395533</c:v>
                </c:pt>
                <c:pt idx="28">
                  <c:v>485.90864917395533</c:v>
                </c:pt>
                <c:pt idx="29">
                  <c:v>485.90864917395533</c:v>
                </c:pt>
                <c:pt idx="30">
                  <c:v>485.90864917395533</c:v>
                </c:pt>
                <c:pt idx="31">
                  <c:v>485.90864917395533</c:v>
                </c:pt>
                <c:pt idx="32">
                  <c:v>485.90864917395533</c:v>
                </c:pt>
                <c:pt idx="33">
                  <c:v>485.90864917395533</c:v>
                </c:pt>
                <c:pt idx="34">
                  <c:v>485.90864917395533</c:v>
                </c:pt>
                <c:pt idx="35">
                  <c:v>485.90864917395533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FF-42AB-9886-75B7E0A34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7708168"/>
        <c:axId val="537708952"/>
      </c:barChart>
      <c:catAx>
        <c:axId val="53770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37708952"/>
        <c:crosses val="autoZero"/>
        <c:auto val="1"/>
        <c:lblAlgn val="ctr"/>
        <c:lblOffset val="100"/>
        <c:noMultiLvlLbl val="0"/>
      </c:catAx>
      <c:valAx>
        <c:axId val="537708952"/>
        <c:scaling>
          <c:orientation val="minMax"/>
        </c:scaling>
        <c:delete val="0"/>
        <c:axPos val="l"/>
        <c:majorGridlines/>
        <c:numFmt formatCode="&quot;$&quot;#,##0.00" sourceLinked="1"/>
        <c:majorTickMark val="none"/>
        <c:minorTickMark val="none"/>
        <c:tickLblPos val="nextTo"/>
        <c:crossAx val="537708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905152480939864"/>
          <c:y val="0.18835256539678105"/>
          <c:w val="7.5850236928476422E-2"/>
          <c:h val="0.71607210341310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'Year 2'!$C$135:$N$135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'Year 2'!$C$136:$N$136</c:f>
              <c:numCache>
                <c:formatCode>"$"#,##0.00_);[Red]\("$"#,##0.00\)</c:formatCode>
                <c:ptCount val="12"/>
                <c:pt idx="0">
                  <c:v>110111.64631520405</c:v>
                </c:pt>
                <c:pt idx="1">
                  <c:v>101681.27592897956</c:v>
                </c:pt>
                <c:pt idx="2">
                  <c:v>92483.097542755073</c:v>
                </c:pt>
                <c:pt idx="3">
                  <c:v>82517.111156530576</c:v>
                </c:pt>
                <c:pt idx="4">
                  <c:v>72551.12477030608</c:v>
                </c:pt>
                <c:pt idx="5">
                  <c:v>62585.138384081591</c:v>
                </c:pt>
                <c:pt idx="6">
                  <c:v>52619.151997857101</c:v>
                </c:pt>
                <c:pt idx="7">
                  <c:v>42653.165611632612</c:v>
                </c:pt>
                <c:pt idx="8">
                  <c:v>32687.179225408123</c:v>
                </c:pt>
                <c:pt idx="9">
                  <c:v>22721.192839183634</c:v>
                </c:pt>
                <c:pt idx="10">
                  <c:v>12755.206452959143</c:v>
                </c:pt>
                <c:pt idx="11">
                  <c:v>2983.5835264042344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A-485C-9504-6BC1524A4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2592808"/>
        <c:axId val="372595944"/>
      </c:barChart>
      <c:dateAx>
        <c:axId val="3725928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5944"/>
        <c:crosses val="autoZero"/>
        <c:auto val="1"/>
        <c:lblOffset val="100"/>
        <c:baseTimeUnit val="months"/>
      </c:dateAx>
      <c:valAx>
        <c:axId val="37259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'Year 3'!$C$135:$N$135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'Year 3'!$C$136:$N$136</c:f>
              <c:numCache>
                <c:formatCode>"$"#,##0.00_);[Red]\("$"#,##0.00\)</c:formatCode>
                <c:ptCount val="12"/>
                <c:pt idx="0">
                  <c:v>-10002.32512276972</c:v>
                </c:pt>
                <c:pt idx="1">
                  <c:v>-22988.233771943676</c:v>
                </c:pt>
                <c:pt idx="2">
                  <c:v>-35974.142421117635</c:v>
                </c:pt>
                <c:pt idx="3">
                  <c:v>-48960.051070291593</c:v>
                </c:pt>
                <c:pt idx="4">
                  <c:v>-61945.959719465551</c:v>
                </c:pt>
                <c:pt idx="5">
                  <c:v>-74931.868368639509</c:v>
                </c:pt>
                <c:pt idx="6">
                  <c:v>-87917.777017813467</c:v>
                </c:pt>
                <c:pt idx="7">
                  <c:v>-100903.68566698743</c:v>
                </c:pt>
                <c:pt idx="8">
                  <c:v>-113889.59431616138</c:v>
                </c:pt>
                <c:pt idx="9">
                  <c:v>-126875.50296533534</c:v>
                </c:pt>
                <c:pt idx="10">
                  <c:v>-139861.4116145093</c:v>
                </c:pt>
                <c:pt idx="11">
                  <c:v>-152847.32026368324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B-4911-896A-768824BE5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2596336"/>
        <c:axId val="372593200"/>
      </c:barChart>
      <c:dateAx>
        <c:axId val="37259633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3200"/>
        <c:crosses val="autoZero"/>
        <c:auto val="1"/>
        <c:lblOffset val="100"/>
        <c:baseTimeUnit val="months"/>
      </c:dateAx>
      <c:valAx>
        <c:axId val="37259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707169</xdr:colOff>
      <xdr:row>12</xdr:row>
      <xdr:rowOff>20190</xdr:rowOff>
    </xdr:from>
    <xdr:to>
      <xdr:col>9</xdr:col>
      <xdr:colOff>473075</xdr:colOff>
      <xdr:row>24</xdr:row>
      <xdr:rowOff>122035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131396</xdr:colOff>
      <xdr:row>12</xdr:row>
      <xdr:rowOff>5373</xdr:rowOff>
    </xdr:from>
    <xdr:to>
      <xdr:col>16</xdr:col>
      <xdr:colOff>613793</xdr:colOff>
      <xdr:row>24</xdr:row>
      <xdr:rowOff>110393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40</xdr:row>
          <xdr:rowOff>0</xdr:rowOff>
        </xdr:from>
        <xdr:to>
          <xdr:col>9</xdr:col>
          <xdr:colOff>7620</xdr:colOff>
          <xdr:row>41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39</xdr:row>
          <xdr:rowOff>182880</xdr:rowOff>
        </xdr:from>
        <xdr:to>
          <xdr:col>9</xdr:col>
          <xdr:colOff>320040</xdr:colOff>
          <xdr:row>41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39</xdr:row>
          <xdr:rowOff>182880</xdr:rowOff>
        </xdr:from>
        <xdr:to>
          <xdr:col>10</xdr:col>
          <xdr:colOff>7620</xdr:colOff>
          <xdr:row>41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8</xdr:col>
          <xdr:colOff>312420</xdr:colOff>
          <xdr:row>41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39</xdr:row>
          <xdr:rowOff>182880</xdr:rowOff>
        </xdr:from>
        <xdr:to>
          <xdr:col>10</xdr:col>
          <xdr:colOff>327660</xdr:colOff>
          <xdr:row>41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39</xdr:row>
          <xdr:rowOff>182880</xdr:rowOff>
        </xdr:from>
        <xdr:to>
          <xdr:col>11</xdr:col>
          <xdr:colOff>15240</xdr:colOff>
          <xdr:row>41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39</xdr:row>
          <xdr:rowOff>182880</xdr:rowOff>
        </xdr:from>
        <xdr:to>
          <xdr:col>11</xdr:col>
          <xdr:colOff>15240</xdr:colOff>
          <xdr:row>41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39</xdr:row>
          <xdr:rowOff>182880</xdr:rowOff>
        </xdr:from>
        <xdr:to>
          <xdr:col>11</xdr:col>
          <xdr:colOff>327660</xdr:colOff>
          <xdr:row>41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39</xdr:row>
          <xdr:rowOff>182880</xdr:rowOff>
        </xdr:from>
        <xdr:to>
          <xdr:col>12</xdr:col>
          <xdr:colOff>22860</xdr:colOff>
          <xdr:row>41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41</xdr:row>
          <xdr:rowOff>0</xdr:rowOff>
        </xdr:from>
        <xdr:to>
          <xdr:col>9</xdr:col>
          <xdr:colOff>7620</xdr:colOff>
          <xdr:row>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41</xdr:row>
          <xdr:rowOff>0</xdr:rowOff>
        </xdr:from>
        <xdr:to>
          <xdr:col>9</xdr:col>
          <xdr:colOff>320040</xdr:colOff>
          <xdr:row>42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41</xdr:row>
          <xdr:rowOff>0</xdr:rowOff>
        </xdr:from>
        <xdr:to>
          <xdr:col>10</xdr:col>
          <xdr:colOff>7620</xdr:colOff>
          <xdr:row>42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41</xdr:row>
          <xdr:rowOff>0</xdr:rowOff>
        </xdr:from>
        <xdr:to>
          <xdr:col>8</xdr:col>
          <xdr:colOff>312420</xdr:colOff>
          <xdr:row>42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41</xdr:row>
          <xdr:rowOff>0</xdr:rowOff>
        </xdr:from>
        <xdr:to>
          <xdr:col>10</xdr:col>
          <xdr:colOff>327660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41</xdr:row>
          <xdr:rowOff>0</xdr:rowOff>
        </xdr:from>
        <xdr:to>
          <xdr:col>11</xdr:col>
          <xdr:colOff>15240</xdr:colOff>
          <xdr:row>42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41</xdr:row>
          <xdr:rowOff>0</xdr:rowOff>
        </xdr:from>
        <xdr:to>
          <xdr:col>11</xdr:col>
          <xdr:colOff>15240</xdr:colOff>
          <xdr:row>42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41</xdr:row>
          <xdr:rowOff>0</xdr:rowOff>
        </xdr:from>
        <xdr:to>
          <xdr:col>11</xdr:col>
          <xdr:colOff>327660</xdr:colOff>
          <xdr:row>42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41</xdr:row>
          <xdr:rowOff>0</xdr:rowOff>
        </xdr:from>
        <xdr:to>
          <xdr:col>12</xdr:col>
          <xdr:colOff>22860</xdr:colOff>
          <xdr:row>42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41</xdr:row>
          <xdr:rowOff>182880</xdr:rowOff>
        </xdr:from>
        <xdr:to>
          <xdr:col>9</xdr:col>
          <xdr:colOff>7620</xdr:colOff>
          <xdr:row>43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42</xdr:row>
          <xdr:rowOff>0</xdr:rowOff>
        </xdr:from>
        <xdr:to>
          <xdr:col>9</xdr:col>
          <xdr:colOff>320040</xdr:colOff>
          <xdr:row>43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42</xdr:row>
          <xdr:rowOff>0</xdr:rowOff>
        </xdr:from>
        <xdr:to>
          <xdr:col>10</xdr:col>
          <xdr:colOff>7620</xdr:colOff>
          <xdr:row>43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42</xdr:row>
          <xdr:rowOff>0</xdr:rowOff>
        </xdr:from>
        <xdr:to>
          <xdr:col>8</xdr:col>
          <xdr:colOff>312420</xdr:colOff>
          <xdr:row>43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42</xdr:row>
          <xdr:rowOff>0</xdr:rowOff>
        </xdr:from>
        <xdr:to>
          <xdr:col>10</xdr:col>
          <xdr:colOff>327660</xdr:colOff>
          <xdr:row>43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42</xdr:row>
          <xdr:rowOff>0</xdr:rowOff>
        </xdr:from>
        <xdr:to>
          <xdr:col>11</xdr:col>
          <xdr:colOff>15240</xdr:colOff>
          <xdr:row>43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42</xdr:row>
          <xdr:rowOff>0</xdr:rowOff>
        </xdr:from>
        <xdr:to>
          <xdr:col>11</xdr:col>
          <xdr:colOff>15240</xdr:colOff>
          <xdr:row>43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42</xdr:row>
          <xdr:rowOff>0</xdr:rowOff>
        </xdr:from>
        <xdr:to>
          <xdr:col>11</xdr:col>
          <xdr:colOff>327660</xdr:colOff>
          <xdr:row>43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42</xdr:row>
          <xdr:rowOff>0</xdr:rowOff>
        </xdr:from>
        <xdr:to>
          <xdr:col>12</xdr:col>
          <xdr:colOff>22860</xdr:colOff>
          <xdr:row>43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43</xdr:row>
          <xdr:rowOff>0</xdr:rowOff>
        </xdr:from>
        <xdr:to>
          <xdr:col>9</xdr:col>
          <xdr:colOff>7620</xdr:colOff>
          <xdr:row>44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42</xdr:row>
          <xdr:rowOff>182880</xdr:rowOff>
        </xdr:from>
        <xdr:to>
          <xdr:col>9</xdr:col>
          <xdr:colOff>320040</xdr:colOff>
          <xdr:row>44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42</xdr:row>
          <xdr:rowOff>182880</xdr:rowOff>
        </xdr:from>
        <xdr:to>
          <xdr:col>10</xdr:col>
          <xdr:colOff>7620</xdr:colOff>
          <xdr:row>44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43</xdr:row>
          <xdr:rowOff>0</xdr:rowOff>
        </xdr:from>
        <xdr:to>
          <xdr:col>8</xdr:col>
          <xdr:colOff>312420</xdr:colOff>
          <xdr:row>44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42</xdr:row>
          <xdr:rowOff>182880</xdr:rowOff>
        </xdr:from>
        <xdr:to>
          <xdr:col>10</xdr:col>
          <xdr:colOff>327660</xdr:colOff>
          <xdr:row>44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42</xdr:row>
          <xdr:rowOff>182880</xdr:rowOff>
        </xdr:from>
        <xdr:to>
          <xdr:col>11</xdr:col>
          <xdr:colOff>15240</xdr:colOff>
          <xdr:row>44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42</xdr:row>
          <xdr:rowOff>182880</xdr:rowOff>
        </xdr:from>
        <xdr:to>
          <xdr:col>11</xdr:col>
          <xdr:colOff>15240</xdr:colOff>
          <xdr:row>44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42</xdr:row>
          <xdr:rowOff>182880</xdr:rowOff>
        </xdr:from>
        <xdr:to>
          <xdr:col>11</xdr:col>
          <xdr:colOff>327660</xdr:colOff>
          <xdr:row>44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42</xdr:row>
          <xdr:rowOff>182880</xdr:rowOff>
        </xdr:from>
        <xdr:to>
          <xdr:col>12</xdr:col>
          <xdr:colOff>22860</xdr:colOff>
          <xdr:row>44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43</xdr:row>
          <xdr:rowOff>182880</xdr:rowOff>
        </xdr:from>
        <xdr:to>
          <xdr:col>9</xdr:col>
          <xdr:colOff>7620</xdr:colOff>
          <xdr:row>45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44</xdr:row>
          <xdr:rowOff>0</xdr:rowOff>
        </xdr:from>
        <xdr:to>
          <xdr:col>9</xdr:col>
          <xdr:colOff>320040</xdr:colOff>
          <xdr:row>45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44</xdr:row>
          <xdr:rowOff>0</xdr:rowOff>
        </xdr:from>
        <xdr:to>
          <xdr:col>10</xdr:col>
          <xdr:colOff>7620</xdr:colOff>
          <xdr:row>45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44</xdr:row>
          <xdr:rowOff>0</xdr:rowOff>
        </xdr:from>
        <xdr:to>
          <xdr:col>8</xdr:col>
          <xdr:colOff>312420</xdr:colOff>
          <xdr:row>45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44</xdr:row>
          <xdr:rowOff>0</xdr:rowOff>
        </xdr:from>
        <xdr:to>
          <xdr:col>10</xdr:col>
          <xdr:colOff>327660</xdr:colOff>
          <xdr:row>45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44</xdr:row>
          <xdr:rowOff>0</xdr:rowOff>
        </xdr:from>
        <xdr:to>
          <xdr:col>11</xdr:col>
          <xdr:colOff>15240</xdr:colOff>
          <xdr:row>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44</xdr:row>
          <xdr:rowOff>0</xdr:rowOff>
        </xdr:from>
        <xdr:to>
          <xdr:col>11</xdr:col>
          <xdr:colOff>15240</xdr:colOff>
          <xdr:row>45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44</xdr:row>
          <xdr:rowOff>0</xdr:rowOff>
        </xdr:from>
        <xdr:to>
          <xdr:col>11</xdr:col>
          <xdr:colOff>327660</xdr:colOff>
          <xdr:row>45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44</xdr:row>
          <xdr:rowOff>0</xdr:rowOff>
        </xdr:from>
        <xdr:to>
          <xdr:col>12</xdr:col>
          <xdr:colOff>22860</xdr:colOff>
          <xdr:row>45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32</xdr:row>
          <xdr:rowOff>182880</xdr:rowOff>
        </xdr:from>
        <xdr:to>
          <xdr:col>9</xdr:col>
          <xdr:colOff>7620</xdr:colOff>
          <xdr:row>34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33</xdr:row>
          <xdr:rowOff>0</xdr:rowOff>
        </xdr:from>
        <xdr:to>
          <xdr:col>9</xdr:col>
          <xdr:colOff>320040</xdr:colOff>
          <xdr:row>34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33</xdr:row>
          <xdr:rowOff>0</xdr:rowOff>
        </xdr:from>
        <xdr:to>
          <xdr:col>10</xdr:col>
          <xdr:colOff>7620</xdr:colOff>
          <xdr:row>34</xdr:row>
          <xdr:rowOff>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0</xdr:rowOff>
        </xdr:from>
        <xdr:to>
          <xdr:col>8</xdr:col>
          <xdr:colOff>312420</xdr:colOff>
          <xdr:row>34</xdr:row>
          <xdr:rowOff>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33</xdr:row>
          <xdr:rowOff>0</xdr:rowOff>
        </xdr:from>
        <xdr:to>
          <xdr:col>10</xdr:col>
          <xdr:colOff>327660</xdr:colOff>
          <xdr:row>34</xdr:row>
          <xdr:rowOff>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33</xdr:row>
          <xdr:rowOff>0</xdr:rowOff>
        </xdr:from>
        <xdr:to>
          <xdr:col>11</xdr:col>
          <xdr:colOff>15240</xdr:colOff>
          <xdr:row>34</xdr:row>
          <xdr:rowOff>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33</xdr:row>
          <xdr:rowOff>0</xdr:rowOff>
        </xdr:from>
        <xdr:to>
          <xdr:col>11</xdr:col>
          <xdr:colOff>15240</xdr:colOff>
          <xdr:row>34</xdr:row>
          <xdr:rowOff>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33</xdr:row>
          <xdr:rowOff>0</xdr:rowOff>
        </xdr:from>
        <xdr:to>
          <xdr:col>11</xdr:col>
          <xdr:colOff>327660</xdr:colOff>
          <xdr:row>34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33</xdr:row>
          <xdr:rowOff>0</xdr:rowOff>
        </xdr:from>
        <xdr:to>
          <xdr:col>12</xdr:col>
          <xdr:colOff>22860</xdr:colOff>
          <xdr:row>34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34</xdr:row>
          <xdr:rowOff>0</xdr:rowOff>
        </xdr:from>
        <xdr:to>
          <xdr:col>9</xdr:col>
          <xdr:colOff>7620</xdr:colOff>
          <xdr:row>35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34</xdr:row>
          <xdr:rowOff>0</xdr:rowOff>
        </xdr:from>
        <xdr:to>
          <xdr:col>9</xdr:col>
          <xdr:colOff>320040</xdr:colOff>
          <xdr:row>35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33</xdr:row>
          <xdr:rowOff>182880</xdr:rowOff>
        </xdr:from>
        <xdr:to>
          <xdr:col>10</xdr:col>
          <xdr:colOff>7620</xdr:colOff>
          <xdr:row>35</xdr:row>
          <xdr:rowOff>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0</xdr:rowOff>
        </xdr:from>
        <xdr:to>
          <xdr:col>8</xdr:col>
          <xdr:colOff>312420</xdr:colOff>
          <xdr:row>35</xdr:row>
          <xdr:rowOff>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33</xdr:row>
          <xdr:rowOff>182880</xdr:rowOff>
        </xdr:from>
        <xdr:to>
          <xdr:col>10</xdr:col>
          <xdr:colOff>327660</xdr:colOff>
          <xdr:row>35</xdr:row>
          <xdr:rowOff>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33</xdr:row>
          <xdr:rowOff>182880</xdr:rowOff>
        </xdr:from>
        <xdr:to>
          <xdr:col>11</xdr:col>
          <xdr:colOff>15240</xdr:colOff>
          <xdr:row>35</xdr:row>
          <xdr:rowOff>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33</xdr:row>
          <xdr:rowOff>182880</xdr:rowOff>
        </xdr:from>
        <xdr:to>
          <xdr:col>11</xdr:col>
          <xdr:colOff>15240</xdr:colOff>
          <xdr:row>35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33</xdr:row>
          <xdr:rowOff>182880</xdr:rowOff>
        </xdr:from>
        <xdr:to>
          <xdr:col>11</xdr:col>
          <xdr:colOff>327660</xdr:colOff>
          <xdr:row>35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33</xdr:row>
          <xdr:rowOff>182880</xdr:rowOff>
        </xdr:from>
        <xdr:to>
          <xdr:col>12</xdr:col>
          <xdr:colOff>22860</xdr:colOff>
          <xdr:row>35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35</xdr:row>
          <xdr:rowOff>0</xdr:rowOff>
        </xdr:from>
        <xdr:to>
          <xdr:col>9</xdr:col>
          <xdr:colOff>7620</xdr:colOff>
          <xdr:row>36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35</xdr:row>
          <xdr:rowOff>0</xdr:rowOff>
        </xdr:from>
        <xdr:to>
          <xdr:col>9</xdr:col>
          <xdr:colOff>320040</xdr:colOff>
          <xdr:row>36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35</xdr:row>
          <xdr:rowOff>0</xdr:rowOff>
        </xdr:from>
        <xdr:to>
          <xdr:col>10</xdr:col>
          <xdr:colOff>7620</xdr:colOff>
          <xdr:row>36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0</xdr:rowOff>
        </xdr:from>
        <xdr:to>
          <xdr:col>8</xdr:col>
          <xdr:colOff>312420</xdr:colOff>
          <xdr:row>36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35</xdr:row>
          <xdr:rowOff>0</xdr:rowOff>
        </xdr:from>
        <xdr:to>
          <xdr:col>10</xdr:col>
          <xdr:colOff>327660</xdr:colOff>
          <xdr:row>36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35</xdr:row>
          <xdr:rowOff>0</xdr:rowOff>
        </xdr:from>
        <xdr:to>
          <xdr:col>11</xdr:col>
          <xdr:colOff>15240</xdr:colOff>
          <xdr:row>36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35</xdr:row>
          <xdr:rowOff>0</xdr:rowOff>
        </xdr:from>
        <xdr:to>
          <xdr:col>11</xdr:col>
          <xdr:colOff>15240</xdr:colOff>
          <xdr:row>36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35</xdr:row>
          <xdr:rowOff>0</xdr:rowOff>
        </xdr:from>
        <xdr:to>
          <xdr:col>11</xdr:col>
          <xdr:colOff>327660</xdr:colOff>
          <xdr:row>36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35</xdr:row>
          <xdr:rowOff>0</xdr:rowOff>
        </xdr:from>
        <xdr:to>
          <xdr:col>12</xdr:col>
          <xdr:colOff>22860</xdr:colOff>
          <xdr:row>36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36</xdr:row>
          <xdr:rowOff>0</xdr:rowOff>
        </xdr:from>
        <xdr:to>
          <xdr:col>9</xdr:col>
          <xdr:colOff>7620</xdr:colOff>
          <xdr:row>37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36</xdr:row>
          <xdr:rowOff>0</xdr:rowOff>
        </xdr:from>
        <xdr:to>
          <xdr:col>9</xdr:col>
          <xdr:colOff>320040</xdr:colOff>
          <xdr:row>37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36</xdr:row>
          <xdr:rowOff>0</xdr:rowOff>
        </xdr:from>
        <xdr:to>
          <xdr:col>10</xdr:col>
          <xdr:colOff>7620</xdr:colOff>
          <xdr:row>36</xdr:row>
          <xdr:rowOff>182880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0</xdr:rowOff>
        </xdr:from>
        <xdr:to>
          <xdr:col>8</xdr:col>
          <xdr:colOff>312420</xdr:colOff>
          <xdr:row>37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36</xdr:row>
          <xdr:rowOff>0</xdr:rowOff>
        </xdr:from>
        <xdr:to>
          <xdr:col>10</xdr:col>
          <xdr:colOff>327660</xdr:colOff>
          <xdr:row>37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36</xdr:row>
          <xdr:rowOff>0</xdr:rowOff>
        </xdr:from>
        <xdr:to>
          <xdr:col>11</xdr:col>
          <xdr:colOff>15240</xdr:colOff>
          <xdr:row>37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36</xdr:row>
          <xdr:rowOff>0</xdr:rowOff>
        </xdr:from>
        <xdr:to>
          <xdr:col>11</xdr:col>
          <xdr:colOff>15240</xdr:colOff>
          <xdr:row>37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36</xdr:row>
          <xdr:rowOff>0</xdr:rowOff>
        </xdr:from>
        <xdr:to>
          <xdr:col>11</xdr:col>
          <xdr:colOff>327660</xdr:colOff>
          <xdr:row>37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36</xdr:row>
          <xdr:rowOff>0</xdr:rowOff>
        </xdr:from>
        <xdr:to>
          <xdr:col>12</xdr:col>
          <xdr:colOff>22860</xdr:colOff>
          <xdr:row>37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37</xdr:row>
          <xdr:rowOff>0</xdr:rowOff>
        </xdr:from>
        <xdr:to>
          <xdr:col>9</xdr:col>
          <xdr:colOff>7620</xdr:colOff>
          <xdr:row>38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37</xdr:row>
          <xdr:rowOff>0</xdr:rowOff>
        </xdr:from>
        <xdr:to>
          <xdr:col>9</xdr:col>
          <xdr:colOff>320040</xdr:colOff>
          <xdr:row>38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36</xdr:row>
          <xdr:rowOff>182880</xdr:rowOff>
        </xdr:from>
        <xdr:to>
          <xdr:col>10</xdr:col>
          <xdr:colOff>7620</xdr:colOff>
          <xdr:row>38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8</xdr:col>
          <xdr:colOff>312420</xdr:colOff>
          <xdr:row>38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36</xdr:row>
          <xdr:rowOff>182880</xdr:rowOff>
        </xdr:from>
        <xdr:to>
          <xdr:col>10</xdr:col>
          <xdr:colOff>327660</xdr:colOff>
          <xdr:row>38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36</xdr:row>
          <xdr:rowOff>182880</xdr:rowOff>
        </xdr:from>
        <xdr:to>
          <xdr:col>11</xdr:col>
          <xdr:colOff>15240</xdr:colOff>
          <xdr:row>38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36</xdr:row>
          <xdr:rowOff>182880</xdr:rowOff>
        </xdr:from>
        <xdr:to>
          <xdr:col>11</xdr:col>
          <xdr:colOff>15240</xdr:colOff>
          <xdr:row>38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36</xdr:row>
          <xdr:rowOff>182880</xdr:rowOff>
        </xdr:from>
        <xdr:to>
          <xdr:col>11</xdr:col>
          <xdr:colOff>327660</xdr:colOff>
          <xdr:row>38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36</xdr:row>
          <xdr:rowOff>182880</xdr:rowOff>
        </xdr:from>
        <xdr:to>
          <xdr:col>12</xdr:col>
          <xdr:colOff>22860</xdr:colOff>
          <xdr:row>38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26</xdr:row>
          <xdr:rowOff>0</xdr:rowOff>
        </xdr:from>
        <xdr:to>
          <xdr:col>9</xdr:col>
          <xdr:colOff>7620</xdr:colOff>
          <xdr:row>27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26</xdr:row>
          <xdr:rowOff>0</xdr:rowOff>
        </xdr:from>
        <xdr:to>
          <xdr:col>9</xdr:col>
          <xdr:colOff>320040</xdr:colOff>
          <xdr:row>27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26</xdr:row>
          <xdr:rowOff>0</xdr:rowOff>
        </xdr:from>
        <xdr:to>
          <xdr:col>10</xdr:col>
          <xdr:colOff>7620</xdr:colOff>
          <xdr:row>27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0</xdr:rowOff>
        </xdr:from>
        <xdr:to>
          <xdr:col>8</xdr:col>
          <xdr:colOff>312420</xdr:colOff>
          <xdr:row>27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26</xdr:row>
          <xdr:rowOff>0</xdr:rowOff>
        </xdr:from>
        <xdr:to>
          <xdr:col>10</xdr:col>
          <xdr:colOff>327660</xdr:colOff>
          <xdr:row>27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26</xdr:row>
          <xdr:rowOff>0</xdr:rowOff>
        </xdr:from>
        <xdr:to>
          <xdr:col>11</xdr:col>
          <xdr:colOff>15240</xdr:colOff>
          <xdr:row>27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26</xdr:row>
          <xdr:rowOff>0</xdr:rowOff>
        </xdr:from>
        <xdr:to>
          <xdr:col>11</xdr:col>
          <xdr:colOff>15240</xdr:colOff>
          <xdr:row>27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26</xdr:row>
          <xdr:rowOff>0</xdr:rowOff>
        </xdr:from>
        <xdr:to>
          <xdr:col>11</xdr:col>
          <xdr:colOff>327660</xdr:colOff>
          <xdr:row>27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26</xdr:row>
          <xdr:rowOff>0</xdr:rowOff>
        </xdr:from>
        <xdr:to>
          <xdr:col>12</xdr:col>
          <xdr:colOff>22860</xdr:colOff>
          <xdr:row>27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26</xdr:row>
          <xdr:rowOff>182880</xdr:rowOff>
        </xdr:from>
        <xdr:to>
          <xdr:col>9</xdr:col>
          <xdr:colOff>7620</xdr:colOff>
          <xdr:row>28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27</xdr:row>
          <xdr:rowOff>0</xdr:rowOff>
        </xdr:from>
        <xdr:to>
          <xdr:col>9</xdr:col>
          <xdr:colOff>320040</xdr:colOff>
          <xdr:row>28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27</xdr:row>
          <xdr:rowOff>0</xdr:rowOff>
        </xdr:from>
        <xdr:to>
          <xdr:col>10</xdr:col>
          <xdr:colOff>7620</xdr:colOff>
          <xdr:row>28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8</xdr:col>
          <xdr:colOff>312420</xdr:colOff>
          <xdr:row>28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27</xdr:row>
          <xdr:rowOff>0</xdr:rowOff>
        </xdr:from>
        <xdr:to>
          <xdr:col>10</xdr:col>
          <xdr:colOff>327660</xdr:colOff>
          <xdr:row>28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27</xdr:row>
          <xdr:rowOff>0</xdr:rowOff>
        </xdr:from>
        <xdr:to>
          <xdr:col>11</xdr:col>
          <xdr:colOff>15240</xdr:colOff>
          <xdr:row>28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27</xdr:row>
          <xdr:rowOff>0</xdr:rowOff>
        </xdr:from>
        <xdr:to>
          <xdr:col>11</xdr:col>
          <xdr:colOff>15240</xdr:colOff>
          <xdr:row>28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27</xdr:row>
          <xdr:rowOff>0</xdr:rowOff>
        </xdr:from>
        <xdr:to>
          <xdr:col>11</xdr:col>
          <xdr:colOff>327660</xdr:colOff>
          <xdr:row>28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27</xdr:row>
          <xdr:rowOff>0</xdr:rowOff>
        </xdr:from>
        <xdr:to>
          <xdr:col>12</xdr:col>
          <xdr:colOff>22860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27</xdr:row>
          <xdr:rowOff>182880</xdr:rowOff>
        </xdr:from>
        <xdr:to>
          <xdr:col>9</xdr:col>
          <xdr:colOff>7620</xdr:colOff>
          <xdr:row>29</xdr:row>
          <xdr:rowOff>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27</xdr:row>
          <xdr:rowOff>182880</xdr:rowOff>
        </xdr:from>
        <xdr:to>
          <xdr:col>9</xdr:col>
          <xdr:colOff>320040</xdr:colOff>
          <xdr:row>29</xdr:row>
          <xdr:rowOff>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27</xdr:row>
          <xdr:rowOff>182880</xdr:rowOff>
        </xdr:from>
        <xdr:to>
          <xdr:col>10</xdr:col>
          <xdr:colOff>7620</xdr:colOff>
          <xdr:row>29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182880</xdr:rowOff>
        </xdr:from>
        <xdr:to>
          <xdr:col>8</xdr:col>
          <xdr:colOff>312420</xdr:colOff>
          <xdr:row>29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27</xdr:row>
          <xdr:rowOff>182880</xdr:rowOff>
        </xdr:from>
        <xdr:to>
          <xdr:col>10</xdr:col>
          <xdr:colOff>327660</xdr:colOff>
          <xdr:row>29</xdr:row>
          <xdr:rowOff>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27</xdr:row>
          <xdr:rowOff>182880</xdr:rowOff>
        </xdr:from>
        <xdr:to>
          <xdr:col>11</xdr:col>
          <xdr:colOff>15240</xdr:colOff>
          <xdr:row>29</xdr:row>
          <xdr:rowOff>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27</xdr:row>
          <xdr:rowOff>182880</xdr:rowOff>
        </xdr:from>
        <xdr:to>
          <xdr:col>11</xdr:col>
          <xdr:colOff>15240</xdr:colOff>
          <xdr:row>29</xdr:row>
          <xdr:rowOff>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27</xdr:row>
          <xdr:rowOff>182880</xdr:rowOff>
        </xdr:from>
        <xdr:to>
          <xdr:col>11</xdr:col>
          <xdr:colOff>327660</xdr:colOff>
          <xdr:row>29</xdr:row>
          <xdr:rowOff>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27</xdr:row>
          <xdr:rowOff>182880</xdr:rowOff>
        </xdr:from>
        <xdr:to>
          <xdr:col>12</xdr:col>
          <xdr:colOff>22860</xdr:colOff>
          <xdr:row>29</xdr:row>
          <xdr:rowOff>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28</xdr:row>
          <xdr:rowOff>182880</xdr:rowOff>
        </xdr:from>
        <xdr:to>
          <xdr:col>9</xdr:col>
          <xdr:colOff>7620</xdr:colOff>
          <xdr:row>30</xdr:row>
          <xdr:rowOff>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29</xdr:row>
          <xdr:rowOff>0</xdr:rowOff>
        </xdr:from>
        <xdr:to>
          <xdr:col>9</xdr:col>
          <xdr:colOff>320040</xdr:colOff>
          <xdr:row>30</xdr:row>
          <xdr:rowOff>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29</xdr:row>
          <xdr:rowOff>0</xdr:rowOff>
        </xdr:from>
        <xdr:to>
          <xdr:col>10</xdr:col>
          <xdr:colOff>7620</xdr:colOff>
          <xdr:row>30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0</xdr:rowOff>
        </xdr:from>
        <xdr:to>
          <xdr:col>8</xdr:col>
          <xdr:colOff>312420</xdr:colOff>
          <xdr:row>30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29</xdr:row>
          <xdr:rowOff>0</xdr:rowOff>
        </xdr:from>
        <xdr:to>
          <xdr:col>10</xdr:col>
          <xdr:colOff>327660</xdr:colOff>
          <xdr:row>30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29</xdr:row>
          <xdr:rowOff>0</xdr:rowOff>
        </xdr:from>
        <xdr:to>
          <xdr:col>11</xdr:col>
          <xdr:colOff>15240</xdr:colOff>
          <xdr:row>30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29</xdr:row>
          <xdr:rowOff>0</xdr:rowOff>
        </xdr:from>
        <xdr:to>
          <xdr:col>11</xdr:col>
          <xdr:colOff>15240</xdr:colOff>
          <xdr:row>30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29</xdr:row>
          <xdr:rowOff>0</xdr:rowOff>
        </xdr:from>
        <xdr:to>
          <xdr:col>11</xdr:col>
          <xdr:colOff>327660</xdr:colOff>
          <xdr:row>30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29</xdr:row>
          <xdr:rowOff>0</xdr:rowOff>
        </xdr:from>
        <xdr:to>
          <xdr:col>12</xdr:col>
          <xdr:colOff>22860</xdr:colOff>
          <xdr:row>30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30</xdr:row>
          <xdr:rowOff>0</xdr:rowOff>
        </xdr:from>
        <xdr:to>
          <xdr:col>9</xdr:col>
          <xdr:colOff>7620</xdr:colOff>
          <xdr:row>31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30</xdr:row>
          <xdr:rowOff>0</xdr:rowOff>
        </xdr:from>
        <xdr:to>
          <xdr:col>9</xdr:col>
          <xdr:colOff>320040</xdr:colOff>
          <xdr:row>31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30</xdr:row>
          <xdr:rowOff>0</xdr:rowOff>
        </xdr:from>
        <xdr:to>
          <xdr:col>10</xdr:col>
          <xdr:colOff>7620</xdr:colOff>
          <xdr:row>31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8</xdr:col>
          <xdr:colOff>312420</xdr:colOff>
          <xdr:row>31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30</xdr:row>
          <xdr:rowOff>0</xdr:rowOff>
        </xdr:from>
        <xdr:to>
          <xdr:col>10</xdr:col>
          <xdr:colOff>327660</xdr:colOff>
          <xdr:row>31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30</xdr:row>
          <xdr:rowOff>0</xdr:rowOff>
        </xdr:from>
        <xdr:to>
          <xdr:col>11</xdr:col>
          <xdr:colOff>15240</xdr:colOff>
          <xdr:row>31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30</xdr:row>
          <xdr:rowOff>0</xdr:rowOff>
        </xdr:from>
        <xdr:to>
          <xdr:col>11</xdr:col>
          <xdr:colOff>15240</xdr:colOff>
          <xdr:row>31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30</xdr:row>
          <xdr:rowOff>0</xdr:rowOff>
        </xdr:from>
        <xdr:to>
          <xdr:col>11</xdr:col>
          <xdr:colOff>327660</xdr:colOff>
          <xdr:row>31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30</xdr:row>
          <xdr:rowOff>0</xdr:rowOff>
        </xdr:from>
        <xdr:to>
          <xdr:col>12</xdr:col>
          <xdr:colOff>22860</xdr:colOff>
          <xdr:row>31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-500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628650</xdr:colOff>
      <xdr:row>126</xdr:row>
      <xdr:rowOff>9525</xdr:rowOff>
    </xdr:from>
    <xdr:to>
      <xdr:col>18</xdr:col>
      <xdr:colOff>895350</xdr:colOff>
      <xdr:row>135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26669</xdr:colOff>
      <xdr:row>12</xdr:row>
      <xdr:rowOff>7620</xdr:rowOff>
    </xdr:from>
    <xdr:to>
      <xdr:col>12</xdr:col>
      <xdr:colOff>255270</xdr:colOff>
      <xdr:row>34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7620</xdr:rowOff>
    </xdr:from>
    <xdr:to>
      <xdr:col>6</xdr:col>
      <xdr:colOff>1828800</xdr:colOff>
      <xdr:row>34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466300</xdr:colOff>
      <xdr:row>130</xdr:row>
      <xdr:rowOff>4549</xdr:rowOff>
    </xdr:from>
    <xdr:to>
      <xdr:col>18</xdr:col>
      <xdr:colOff>955345</xdr:colOff>
      <xdr:row>138</xdr:row>
      <xdr:rowOff>325272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545910</xdr:colOff>
      <xdr:row>129</xdr:row>
      <xdr:rowOff>186519</xdr:rowOff>
    </xdr:from>
    <xdr:to>
      <xdr:col>18</xdr:col>
      <xdr:colOff>1034955</xdr:colOff>
      <xdr:row>138</xdr:row>
      <xdr:rowOff>313898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%20Engineering%20Valuation%20with%20Pro%20Forma%20-%20Rev%2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erse Engineering Valuation"/>
      <sheetName val="Pro Forma"/>
      <sheetName val="Year 1"/>
      <sheetName val="Depreciation"/>
      <sheetName val="Year 2"/>
      <sheetName val="Year 3"/>
      <sheetName val="Multipliers "/>
    </sheetNames>
    <sheetDataSet>
      <sheetData sheetId="0" refreshError="1"/>
      <sheetData sheetId="1" refreshError="1"/>
      <sheetData sheetId="2" refreshError="1"/>
      <sheetData sheetId="3">
        <row r="2">
          <cell r="H2" t="str">
            <v/>
          </cell>
        </row>
        <row r="4">
          <cell r="H4" t="str">
            <v/>
          </cell>
        </row>
        <row r="5">
          <cell r="H5" t="str">
            <v/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3"/>
  <sheetViews>
    <sheetView topLeftCell="A17" zoomScale="72" zoomScaleNormal="72" workbookViewId="0">
      <selection activeCell="H46" sqref="H46"/>
    </sheetView>
  </sheetViews>
  <sheetFormatPr defaultColWidth="9.140625" defaultRowHeight="14.45"/>
  <cols>
    <col min="1" max="1" width="49.140625" style="2" customWidth="1"/>
    <col min="2" max="2" width="25.42578125" style="2" customWidth="1"/>
    <col min="3" max="3" width="31.5703125" style="2" customWidth="1"/>
    <col min="4" max="4" width="16.5703125" style="2" customWidth="1"/>
    <col min="5" max="5" width="12.7109375" style="2" customWidth="1"/>
    <col min="6" max="6" width="11.7109375" style="2" customWidth="1"/>
    <col min="7" max="7" width="16" style="2" customWidth="1"/>
    <col min="8" max="8" width="18.42578125" style="2" customWidth="1"/>
    <col min="9" max="9" width="9.140625" style="2" customWidth="1"/>
    <col min="10" max="10" width="9.140625" style="2"/>
    <col min="11" max="12" width="9.140625" style="2" customWidth="1"/>
    <col min="13" max="13" width="16.140625" style="2" customWidth="1"/>
    <col min="14" max="14" width="11.5703125" style="2" customWidth="1"/>
    <col min="15" max="16384" width="9.140625" style="2"/>
  </cols>
  <sheetData>
    <row r="1" spans="1:14" ht="36.6">
      <c r="A1" s="19" t="s">
        <v>0</v>
      </c>
      <c r="B1" s="1"/>
    </row>
    <row r="2" spans="1:14" ht="18">
      <c r="A2" s="20" t="s">
        <v>1</v>
      </c>
      <c r="C2" s="1"/>
    </row>
    <row r="3" spans="1:14" ht="18">
      <c r="A3" s="20"/>
      <c r="C3" s="137"/>
    </row>
    <row r="4" spans="1:14" ht="15.6">
      <c r="A4" t="s">
        <v>2</v>
      </c>
      <c r="B4" s="4"/>
      <c r="D4" s="3"/>
    </row>
    <row r="5" spans="1:14" ht="15" thickBot="1">
      <c r="A5" t="s">
        <v>3</v>
      </c>
      <c r="B5" s="4">
        <v>250000</v>
      </c>
      <c r="C5" s="22" t="s">
        <v>4</v>
      </c>
      <c r="D5" s="23" t="s">
        <v>5</v>
      </c>
      <c r="F5" s="26" t="s">
        <v>6</v>
      </c>
      <c r="G5" s="27" t="s">
        <v>7</v>
      </c>
      <c r="H5" s="26" t="s">
        <v>8</v>
      </c>
      <c r="I5" s="26" t="s">
        <v>9</v>
      </c>
    </row>
    <row r="6" spans="1:14" ht="15" thickBot="1">
      <c r="A6" s="21" t="s">
        <v>10</v>
      </c>
      <c r="B6" s="5">
        <v>10</v>
      </c>
      <c r="C6" s="24" t="s">
        <v>11</v>
      </c>
      <c r="D6" s="164">
        <f>(B7/B5)^(1/(3))-1</f>
        <v>1.1544346900318838</v>
      </c>
      <c r="F6" s="28">
        <v>0</v>
      </c>
      <c r="G6" s="38">
        <f>H6/H9</f>
        <v>0</v>
      </c>
      <c r="H6" s="39">
        <f>B4</f>
        <v>0</v>
      </c>
      <c r="I6" s="162">
        <f>G6</f>
        <v>0</v>
      </c>
      <c r="N6" s="1"/>
    </row>
    <row r="7" spans="1:14" ht="15" thickBot="1">
      <c r="A7" t="s">
        <v>12</v>
      </c>
      <c r="B7" s="37">
        <f>B5*B6</f>
        <v>2500000</v>
      </c>
      <c r="C7" s="24" t="s">
        <v>13</v>
      </c>
      <c r="D7" s="164">
        <f>(B7/B5)^(1/(5))-1</f>
        <v>0.5848931924611136</v>
      </c>
      <c r="F7" s="28">
        <v>1</v>
      </c>
      <c r="G7" s="38">
        <f>G8/B12</f>
        <v>0.04</v>
      </c>
      <c r="H7" s="39">
        <f>IF(ISBLANK(I7),H9*G7,H9*I7)</f>
        <v>50000</v>
      </c>
      <c r="I7" s="10"/>
      <c r="M7" s="1"/>
      <c r="N7" s="1"/>
    </row>
    <row r="8" spans="1:14" ht="15" thickBot="1">
      <c r="A8" t="s">
        <v>14</v>
      </c>
      <c r="B8" s="8">
        <v>0.2</v>
      </c>
      <c r="C8" s="24" t="s">
        <v>15</v>
      </c>
      <c r="D8" s="164">
        <f>(B7/B5)^(1/(7))-1</f>
        <v>0.38949549437313769</v>
      </c>
      <c r="F8" s="28">
        <v>2</v>
      </c>
      <c r="G8" s="38">
        <f>G9/B12</f>
        <v>0.2</v>
      </c>
      <c r="H8" s="39">
        <f>IF(ISBLANK(I8),H9*G8,H9*I8)</f>
        <v>250000</v>
      </c>
      <c r="I8" s="10"/>
      <c r="M8" s="1"/>
    </row>
    <row r="9" spans="1:14" ht="15" thickBot="1">
      <c r="A9" t="s">
        <v>16</v>
      </c>
      <c r="B9" s="37">
        <f>B7/B8</f>
        <v>12500000</v>
      </c>
      <c r="C9" s="6"/>
      <c r="D9" s="1"/>
      <c r="F9" s="28">
        <v>3</v>
      </c>
      <c r="G9" s="29">
        <v>1</v>
      </c>
      <c r="H9" s="39">
        <f>B11</f>
        <v>1250000</v>
      </c>
      <c r="I9" s="162">
        <f>G9</f>
        <v>1</v>
      </c>
      <c r="M9" s="1"/>
    </row>
    <row r="10" spans="1:14" ht="15" thickBot="1">
      <c r="A10" s="21" t="s">
        <v>17</v>
      </c>
      <c r="B10" s="9">
        <v>10</v>
      </c>
      <c r="D10"/>
      <c r="F10" s="28">
        <v>4</v>
      </c>
      <c r="G10" s="38">
        <f>G9*B12</f>
        <v>5</v>
      </c>
      <c r="H10" s="39">
        <f>IF(ISBLANK(I10),H9*G10,H9*I10)</f>
        <v>6250000</v>
      </c>
      <c r="I10" s="10"/>
      <c r="M10" s="1"/>
    </row>
    <row r="11" spans="1:14" ht="15" thickBot="1">
      <c r="A11" t="s">
        <v>18</v>
      </c>
      <c r="B11" s="40">
        <f>IF(D11,B4,B9/B10)</f>
        <v>1250000</v>
      </c>
      <c r="C11" s="25" t="s">
        <v>19</v>
      </c>
      <c r="D11" s="1"/>
      <c r="F11" s="28">
        <v>5</v>
      </c>
      <c r="G11" s="38">
        <f>G10*B12</f>
        <v>25</v>
      </c>
      <c r="H11" s="39">
        <f>IF(ISBLANK(I11),H9*G11,H9*I11)</f>
        <v>31250000</v>
      </c>
      <c r="I11" s="10"/>
      <c r="M11" s="1"/>
    </row>
    <row r="12" spans="1:14">
      <c r="A12" t="s">
        <v>20</v>
      </c>
      <c r="B12" s="10">
        <v>5</v>
      </c>
      <c r="C12" s="163" t="str">
        <f>IF(B4&gt;0,"&lt;--Max Uniform Growth = "&amp; TEXT(POWER(B11/B4,1/3)*100,0%)&amp;"%","")</f>
        <v/>
      </c>
    </row>
    <row r="14" spans="1:14">
      <c r="C14" s="23" t="s">
        <v>21</v>
      </c>
    </row>
    <row r="15" spans="1:14" ht="15" thickBot="1">
      <c r="A15" t="s">
        <v>22</v>
      </c>
      <c r="B15" s="11">
        <v>2000000000</v>
      </c>
      <c r="E15" s="7"/>
      <c r="F15" s="12"/>
      <c r="G15" s="1"/>
    </row>
    <row r="16" spans="1:14" ht="15" thickBot="1">
      <c r="A16" s="24" t="s">
        <v>23</v>
      </c>
      <c r="B16" s="41">
        <f>H11/B15</f>
        <v>1.5625E-2</v>
      </c>
      <c r="C16" s="42" t="str">
        <f>IF(B16&gt;=A19,C19,IF(B16&gt;=A20,C20,IF(B16&gt;=5%,C21,IF(B16&gt;=1%,C22,C23))))</f>
        <v>The may not even ask</v>
      </c>
      <c r="E16" s="7"/>
      <c r="F16" s="12"/>
      <c r="G16" s="1"/>
    </row>
    <row r="17" spans="1:12" ht="15" thickBot="1">
      <c r="B17" s="13"/>
      <c r="E17" s="7"/>
      <c r="F17" s="12"/>
      <c r="G17" s="1"/>
    </row>
    <row r="18" spans="1:12" ht="15" thickBot="1">
      <c r="A18" t="s">
        <v>24</v>
      </c>
      <c r="B18" s="43">
        <f>H11</f>
        <v>31250000</v>
      </c>
      <c r="E18" s="7"/>
      <c r="F18" s="12"/>
      <c r="G18" s="1"/>
    </row>
    <row r="19" spans="1:12" ht="15" thickBot="1">
      <c r="A19" s="30">
        <v>0.2</v>
      </c>
      <c r="B19" s="40">
        <f>B18/A19</f>
        <v>156250000</v>
      </c>
      <c r="C19" s="32" t="s">
        <v>25</v>
      </c>
    </row>
    <row r="20" spans="1:12" ht="15" thickBot="1">
      <c r="A20" s="30">
        <v>0.1</v>
      </c>
      <c r="B20" s="40">
        <f>B18/A20</f>
        <v>312500000</v>
      </c>
      <c r="C20" s="33" t="s">
        <v>26</v>
      </c>
    </row>
    <row r="21" spans="1:12" ht="15" thickBot="1">
      <c r="A21" s="30">
        <v>0.05</v>
      </c>
      <c r="B21" s="40">
        <f>B18/A21</f>
        <v>625000000</v>
      </c>
      <c r="C21" s="21" t="s">
        <v>27</v>
      </c>
    </row>
    <row r="22" spans="1:12" ht="15" thickBot="1">
      <c r="A22" s="30">
        <v>0.01</v>
      </c>
      <c r="B22" s="40">
        <f>B18/A22</f>
        <v>3125000000</v>
      </c>
      <c r="C22" s="34" t="s">
        <v>28</v>
      </c>
    </row>
    <row r="23" spans="1:12">
      <c r="A23" s="24" t="s">
        <v>29</v>
      </c>
      <c r="B23" s="31"/>
      <c r="C23" s="35" t="s">
        <v>30</v>
      </c>
    </row>
    <row r="26" spans="1:12">
      <c r="A26" s="36" t="s">
        <v>31</v>
      </c>
      <c r="B26" s="36" t="s">
        <v>32</v>
      </c>
      <c r="C26" s="36" t="s">
        <v>33</v>
      </c>
      <c r="D26" s="36" t="s">
        <v>8</v>
      </c>
      <c r="E26" s="36" t="s">
        <v>34</v>
      </c>
      <c r="F26" s="36" t="s">
        <v>35</v>
      </c>
      <c r="G26" s="36" t="s">
        <v>8</v>
      </c>
      <c r="H26" s="36" t="s">
        <v>34</v>
      </c>
      <c r="I26" s="178" t="s">
        <v>36</v>
      </c>
      <c r="J26" s="178" t="s">
        <v>36</v>
      </c>
      <c r="K26" s="178" t="s">
        <v>36</v>
      </c>
      <c r="L26" s="178" t="s">
        <v>36</v>
      </c>
    </row>
    <row r="27" spans="1:12">
      <c r="A27" s="15" t="str">
        <f>A34</f>
        <v>Kilter Tilter - Consumer Version</v>
      </c>
      <c r="B27" s="15">
        <f t="shared" ref="B27:B31" si="0">B34</f>
        <v>2999</v>
      </c>
      <c r="C27" s="44">
        <f>IF(AND(B28=0,B29=0,B30=0,B31=0),1,IF(AND(B28&gt;0,B29=0,B30=0,B31=0),0.7,IF(AND(B28&gt;0,B29&gt;0,B30=0,B31=0),0.6,IF(AND(B28&gt;0,B29&gt;0,B30&gt;0,B31=0),0.5,0.45))))</f>
        <v>0.6</v>
      </c>
      <c r="D27" s="45">
        <f>C27*H9</f>
        <v>750000</v>
      </c>
      <c r="E27" s="46">
        <f t="shared" ref="E27:E30" si="1">IF(B27=0,0,D27/B27)</f>
        <v>250.08336112037347</v>
      </c>
      <c r="F27" s="176">
        <v>0.83972000000000002</v>
      </c>
      <c r="G27" s="45">
        <f>H9*F27</f>
        <v>1049650</v>
      </c>
      <c r="H27" s="46">
        <f>IF(B27=0,0,G27/B27)</f>
        <v>350</v>
      </c>
      <c r="I27" s="174"/>
      <c r="J27" s="175"/>
    </row>
    <row r="28" spans="1:12">
      <c r="A28" s="15" t="str">
        <f t="shared" ref="A28" si="2">A35</f>
        <v>Kilter Tilter -Therapy Version</v>
      </c>
      <c r="B28" s="15">
        <f t="shared" si="0"/>
        <v>3999</v>
      </c>
      <c r="C28" s="44">
        <f>IF(C27=1,0,IF(C27=0.7,0.3,IF(C27&lt;=0.6,0.25)))</f>
        <v>0.25</v>
      </c>
      <c r="D28" s="45">
        <f>C28*H9</f>
        <v>312500</v>
      </c>
      <c r="E28" s="46">
        <f t="shared" si="1"/>
        <v>78.144536134033515</v>
      </c>
      <c r="F28" s="176">
        <v>0.1151712</v>
      </c>
      <c r="G28" s="45">
        <f>H9*F28</f>
        <v>143964</v>
      </c>
      <c r="H28" s="46">
        <f t="shared" ref="H28:H31" si="3">IF(B28=0,0,G28/B28)</f>
        <v>36</v>
      </c>
      <c r="I28" s="174"/>
      <c r="J28" s="175"/>
    </row>
    <row r="29" spans="1:12">
      <c r="A29" s="15" t="str">
        <f t="shared" ref="A29" si="4">A36</f>
        <v>Kilter Roller</v>
      </c>
      <c r="B29" s="15">
        <f t="shared" si="0"/>
        <v>69.989999999999995</v>
      </c>
      <c r="C29" s="44">
        <f>IF(C27&gt;=0.7,0,0.15)</f>
        <v>0.15</v>
      </c>
      <c r="D29" s="45">
        <f>C29*H9</f>
        <v>187500</v>
      </c>
      <c r="E29" s="46">
        <f t="shared" si="1"/>
        <v>2678.9541363051867</v>
      </c>
      <c r="F29" s="176">
        <v>4.4793600000000003E-2</v>
      </c>
      <c r="G29" s="45">
        <f>H9*F29</f>
        <v>55992</v>
      </c>
      <c r="H29" s="46">
        <f t="shared" si="3"/>
        <v>800.00000000000011</v>
      </c>
      <c r="I29" s="174"/>
      <c r="J29" s="175"/>
    </row>
    <row r="30" spans="1:12">
      <c r="A30" s="15"/>
      <c r="B30" s="15"/>
      <c r="C30" s="44">
        <f>IF(C27&gt;=0.6,0,0.1)</f>
        <v>0</v>
      </c>
      <c r="D30" s="45">
        <f>C30*H9</f>
        <v>0</v>
      </c>
      <c r="E30" s="46">
        <f t="shared" si="1"/>
        <v>0</v>
      </c>
      <c r="F30" s="176"/>
      <c r="G30" s="45">
        <f>H9*F30</f>
        <v>0</v>
      </c>
      <c r="H30" s="46">
        <f t="shared" si="3"/>
        <v>0</v>
      </c>
      <c r="I30" s="174"/>
      <c r="J30" s="175"/>
    </row>
    <row r="31" spans="1:12">
      <c r="A31" s="15"/>
      <c r="B31" s="15">
        <f t="shared" si="0"/>
        <v>0</v>
      </c>
      <c r="C31" s="44">
        <f>IF(C27&gt;=0.5,0,0.05)</f>
        <v>0</v>
      </c>
      <c r="D31" s="45">
        <f>C31*H9</f>
        <v>0</v>
      </c>
      <c r="E31" s="46">
        <f>IF(B31=0,0,D31/B31)</f>
        <v>0</v>
      </c>
      <c r="F31" s="176"/>
      <c r="G31" s="45">
        <f>H9*F31</f>
        <v>0</v>
      </c>
      <c r="H31" s="46">
        <f t="shared" si="3"/>
        <v>0</v>
      </c>
      <c r="I31" s="174"/>
      <c r="J31" s="175"/>
    </row>
    <row r="32" spans="1:12">
      <c r="E32" s="6" t="str">
        <f>IF(SUM(F27:F31)=0,"","Yours - 100%")</f>
        <v>Yours - 100%</v>
      </c>
      <c r="F32" s="177">
        <f>IF(SUM(F27:F31)=0,"",(SUM(F27:F31)-1))</f>
        <v>-3.1519999999995996E-4</v>
      </c>
      <c r="G32" s="180">
        <f>IF(SUM(F27:F31)=0,"",(SUM(G27:G31)-H9))</f>
        <v>-394</v>
      </c>
      <c r="I32" s="13"/>
    </row>
    <row r="33" spans="1:12">
      <c r="A33" s="36" t="s">
        <v>37</v>
      </c>
      <c r="B33" s="36" t="s">
        <v>32</v>
      </c>
      <c r="C33" s="36" t="s">
        <v>33</v>
      </c>
      <c r="D33" s="36" t="s">
        <v>8</v>
      </c>
      <c r="E33" s="36" t="s">
        <v>34</v>
      </c>
      <c r="F33" s="36" t="s">
        <v>35</v>
      </c>
      <c r="G33" s="36" t="s">
        <v>8</v>
      </c>
      <c r="H33" s="36" t="s">
        <v>34</v>
      </c>
      <c r="I33" s="178" t="s">
        <v>36</v>
      </c>
      <c r="J33" s="178" t="s">
        <v>36</v>
      </c>
      <c r="K33" s="178" t="s">
        <v>36</v>
      </c>
      <c r="L33" s="178" t="s">
        <v>36</v>
      </c>
    </row>
    <row r="34" spans="1:12">
      <c r="A34" s="15" t="s">
        <v>38</v>
      </c>
      <c r="B34" s="15">
        <v>2999</v>
      </c>
      <c r="C34" s="44">
        <f>IF(AND(B35=0,B36=0,B37=0,B38=0),1,IF(AND(B35&gt;0,B36=0,B37=0,B38=0),0.7,IF(AND(B35&gt;0,B36&gt;0,B37=0,B38=0),0.6,IF(AND(B35&gt;0,B36&gt;0,B37&gt;0,B38=0),0.5,0.45))))</f>
        <v>0.6</v>
      </c>
      <c r="D34" s="45">
        <f>C34*H8</f>
        <v>150000</v>
      </c>
      <c r="E34" s="46">
        <f>IF(B34=0,0,D34/B34)</f>
        <v>50.016672224074689</v>
      </c>
      <c r="F34" s="176">
        <v>0.5998</v>
      </c>
      <c r="G34" s="45">
        <f>H8*F34</f>
        <v>149950</v>
      </c>
      <c r="H34" s="46">
        <f>IF(B34=0,0,G34/B34)</f>
        <v>50</v>
      </c>
      <c r="I34" s="174"/>
      <c r="J34" s="175"/>
    </row>
    <row r="35" spans="1:12">
      <c r="A35" s="15" t="str">
        <f>A41</f>
        <v>Kilter Tilter -Therapy Version</v>
      </c>
      <c r="B35" s="15">
        <f>B41</f>
        <v>3999</v>
      </c>
      <c r="C35" s="44">
        <f>IF(C34=1,0,IF(C34=0.7,0.3,IF(C34&lt;=0.6,0.25)))</f>
        <v>0.25</v>
      </c>
      <c r="D35" s="45">
        <f>C35*H8</f>
        <v>62500</v>
      </c>
      <c r="E35" s="46">
        <f>IF(B35=0,0,D35/B35)</f>
        <v>15.628907226806701</v>
      </c>
      <c r="F35" s="176">
        <v>0.28792800000000002</v>
      </c>
      <c r="G35" s="45">
        <f>H8*F35</f>
        <v>71982</v>
      </c>
      <c r="H35" s="46">
        <f>IF(B35=0,0,G35/B35)</f>
        <v>18</v>
      </c>
      <c r="I35" s="174"/>
      <c r="J35" s="175"/>
    </row>
    <row r="36" spans="1:12">
      <c r="A36" s="15" t="str">
        <f>A42</f>
        <v>Kilter Roller</v>
      </c>
      <c r="B36" s="15">
        <v>69.989999999999995</v>
      </c>
      <c r="C36" s="44">
        <f>IF(C34&gt;=0.7,0,0.15)</f>
        <v>0.15</v>
      </c>
      <c r="D36" s="45">
        <f>C36*H8</f>
        <v>37500</v>
      </c>
      <c r="E36" s="46">
        <f>IF(B36=0,0,D36/B36)</f>
        <v>535.79082726103729</v>
      </c>
      <c r="F36" s="176">
        <v>0.111984</v>
      </c>
      <c r="G36" s="45">
        <f>H8*F36</f>
        <v>27996</v>
      </c>
      <c r="H36" s="46">
        <f>IF(B36=0,0,G36/B36)</f>
        <v>400.00000000000006</v>
      </c>
      <c r="I36" s="174"/>
      <c r="J36" s="175"/>
    </row>
    <row r="37" spans="1:12">
      <c r="A37" s="15"/>
      <c r="B37" s="15"/>
      <c r="C37" s="44">
        <f>IF(C34&gt;=0.6,0,0.1)</f>
        <v>0</v>
      </c>
      <c r="D37" s="45">
        <f>C37*H8</f>
        <v>0</v>
      </c>
      <c r="E37" s="46">
        <f t="shared" ref="E37" si="5">IF(B37=0,0,D37/B37)</f>
        <v>0</v>
      </c>
      <c r="F37" s="176"/>
      <c r="G37" s="45">
        <f>H8*F37</f>
        <v>0</v>
      </c>
      <c r="H37" s="46">
        <f t="shared" ref="H37:H38" si="6">IF(B37=0,0,G37/B37)</f>
        <v>0</v>
      </c>
      <c r="I37" s="174"/>
      <c r="J37" s="175"/>
    </row>
    <row r="38" spans="1:12">
      <c r="A38" s="15"/>
      <c r="B38" s="15"/>
      <c r="C38" s="44">
        <f>IF(C34&gt;=0.5,0,0.05)</f>
        <v>0</v>
      </c>
      <c r="D38" s="45">
        <f>C38*H8</f>
        <v>0</v>
      </c>
      <c r="E38" s="46">
        <f>IF(B38=0,0,D38/B38)</f>
        <v>0</v>
      </c>
      <c r="F38" s="176"/>
      <c r="G38" s="45">
        <f>H8*F38</f>
        <v>0</v>
      </c>
      <c r="H38" s="46">
        <f t="shared" si="6"/>
        <v>0</v>
      </c>
      <c r="I38" s="174"/>
      <c r="J38" s="175"/>
    </row>
    <row r="39" spans="1:12">
      <c r="A39" s="179"/>
      <c r="C39" s="44"/>
      <c r="D39" s="45"/>
      <c r="E39" s="6" t="str">
        <f>IF(SUM(F34:F38)=0,"","Yours - 100%")</f>
        <v>Yours - 100%</v>
      </c>
      <c r="F39" s="177">
        <f>IF(SUM(F34:F38)=0,"",(SUM(F34:F38)-1))</f>
        <v>-2.8799999999995496E-4</v>
      </c>
      <c r="G39" s="180">
        <f>IF(SUM(F34:F38)=0,"",(SUM(G34:G38)-H8))</f>
        <v>-72</v>
      </c>
      <c r="H39" s="46"/>
      <c r="I39" s="174"/>
      <c r="J39" s="175"/>
    </row>
    <row r="40" spans="1:12">
      <c r="A40" s="36" t="s">
        <v>39</v>
      </c>
      <c r="B40" s="36" t="s">
        <v>32</v>
      </c>
      <c r="C40" s="36" t="s">
        <v>33</v>
      </c>
      <c r="D40" s="36" t="s">
        <v>8</v>
      </c>
      <c r="E40" s="36" t="s">
        <v>34</v>
      </c>
      <c r="F40" s="36" t="s">
        <v>35</v>
      </c>
      <c r="G40" s="36" t="s">
        <v>8</v>
      </c>
      <c r="H40" s="36" t="s">
        <v>34</v>
      </c>
      <c r="I40" s="178" t="s">
        <v>36</v>
      </c>
      <c r="J40" s="178" t="s">
        <v>36</v>
      </c>
      <c r="K40" s="178" t="s">
        <v>36</v>
      </c>
      <c r="L40" s="178" t="s">
        <v>36</v>
      </c>
    </row>
    <row r="41" spans="1:12">
      <c r="A41" s="15" t="s">
        <v>40</v>
      </c>
      <c r="B41" s="15">
        <v>3999</v>
      </c>
      <c r="C41" s="44">
        <f>IF(AND(B42=0,B43=0,B44=0,B45=0),1,IF(AND(B42&gt;0,B43=0,B44=0,B45=0),0.7,IF(AND(B42&gt;0,B43&gt;0,B44=0,B45=0),0.6,IF(AND(B42&gt;0,B43&gt;0,B44&gt;0,B45=0),0.5,0.45))))</f>
        <v>0.7</v>
      </c>
      <c r="D41" s="45">
        <f>C41*H7</f>
        <v>35000</v>
      </c>
      <c r="E41" s="49">
        <f>IF(B41=0,0,D41/B41)</f>
        <v>8.752188047011753</v>
      </c>
      <c r="F41" s="176">
        <v>0.79979999999999996</v>
      </c>
      <c r="G41" s="45">
        <f>H7*F41</f>
        <v>39990</v>
      </c>
      <c r="H41" s="49">
        <f>IF(B41=0,0,G41/B41)</f>
        <v>10</v>
      </c>
      <c r="I41" s="174"/>
      <c r="J41" s="175"/>
    </row>
    <row r="42" spans="1:12">
      <c r="A42" s="15" t="s">
        <v>41</v>
      </c>
      <c r="B42" s="15">
        <v>79.989999999999995</v>
      </c>
      <c r="C42" s="44">
        <f>IF(C41=1,0,IF(C41=0.7,0.3,IF(C41&lt;=0.6,0.25)))</f>
        <v>0.3</v>
      </c>
      <c r="D42" s="45">
        <f>C42*H7</f>
        <v>15000</v>
      </c>
      <c r="E42" s="49">
        <f>IF(B42=0,0,D42/B42)</f>
        <v>187.52344043005377</v>
      </c>
      <c r="F42" s="176">
        <v>0.19997500000000001</v>
      </c>
      <c r="G42" s="45">
        <f>H7*F42</f>
        <v>9998.75</v>
      </c>
      <c r="H42" s="49">
        <f>IF(B42=0,0,G42/B42)</f>
        <v>125.00000000000001</v>
      </c>
      <c r="I42" s="174"/>
      <c r="J42" s="175"/>
    </row>
    <row r="43" spans="1:12">
      <c r="A43" s="15"/>
      <c r="B43" s="15"/>
      <c r="C43" s="44">
        <f>IF(C41&gt;=0.7,0,0.15)</f>
        <v>0</v>
      </c>
      <c r="D43" s="45">
        <f>C43*H7</f>
        <v>0</v>
      </c>
      <c r="E43" s="49">
        <f>IF(B43=0,0,D43/B43)</f>
        <v>0</v>
      </c>
      <c r="F43" s="176"/>
      <c r="G43" s="45">
        <f>H7*F43</f>
        <v>0</v>
      </c>
      <c r="H43" s="49">
        <f>IF(B43=0,0,G43/B43)</f>
        <v>0</v>
      </c>
      <c r="I43" s="174"/>
      <c r="J43" s="175"/>
    </row>
    <row r="44" spans="1:12">
      <c r="A44" s="15"/>
      <c r="B44" s="15"/>
      <c r="C44" s="44">
        <f>IF(C41&gt;=0.6,0,0.1)</f>
        <v>0</v>
      </c>
      <c r="D44" s="45">
        <f>C44*H7</f>
        <v>0</v>
      </c>
      <c r="E44" s="49">
        <f>IF(B44=0,0,D44/B44)</f>
        <v>0</v>
      </c>
      <c r="F44" s="176"/>
      <c r="G44" s="45">
        <f>H7*F44</f>
        <v>0</v>
      </c>
      <c r="H44" s="49">
        <f>IF(B44=0,0,G44/B44)</f>
        <v>0</v>
      </c>
      <c r="I44" s="174"/>
      <c r="J44" s="175"/>
    </row>
    <row r="45" spans="1:12">
      <c r="A45" s="15"/>
      <c r="B45" s="15"/>
      <c r="C45" s="44">
        <f>IF(C41&gt;=0.5,0,0.05)</f>
        <v>0</v>
      </c>
      <c r="D45" s="45">
        <f>C45*H7</f>
        <v>0</v>
      </c>
      <c r="E45" s="49">
        <f>IF(B45=0,0,D45/B45)</f>
        <v>0</v>
      </c>
      <c r="F45" s="176"/>
      <c r="G45" s="45">
        <f>H7*F45</f>
        <v>0</v>
      </c>
      <c r="H45" s="49">
        <f>IF(B45=0,0,G45/B45)</f>
        <v>0</v>
      </c>
      <c r="I45" s="174"/>
      <c r="J45" s="175"/>
    </row>
    <row r="46" spans="1:12">
      <c r="E46" s="6" t="str">
        <f>IF(SUM(F41:F45)=0,"","Yours - 100%")</f>
        <v>Yours - 100%</v>
      </c>
      <c r="F46" s="177">
        <f>IF(SUM(F41:F45)=0,"",(SUM(F41:F45)-1))</f>
        <v>-2.2500000000003073E-4</v>
      </c>
      <c r="G46" s="180">
        <f>IF(SUM(F41:F45)=0,"",(SUM(G41:G45)-H7))</f>
        <v>-11.25</v>
      </c>
    </row>
    <row r="47" spans="1:12">
      <c r="F47" s="13"/>
    </row>
    <row r="48" spans="1:12">
      <c r="C48" s="14"/>
      <c r="D48" s="14"/>
    </row>
    <row r="49" spans="1:5">
      <c r="B49" s="69"/>
      <c r="C49" s="47"/>
      <c r="D49" s="16"/>
    </row>
    <row r="50" spans="1:5">
      <c r="A50" s="69"/>
      <c r="B50" s="69"/>
      <c r="C50" s="47"/>
      <c r="D50" s="16"/>
    </row>
    <row r="51" spans="1:5">
      <c r="A51" s="69"/>
      <c r="B51" s="69"/>
      <c r="C51" s="17"/>
      <c r="D51" s="16"/>
    </row>
    <row r="52" spans="1:5">
      <c r="A52" s="70"/>
      <c r="B52" s="70"/>
      <c r="C52" s="70"/>
      <c r="D52" s="70"/>
      <c r="E52" s="70"/>
    </row>
    <row r="54" spans="1:5">
      <c r="A54" s="14"/>
      <c r="B54" s="14"/>
      <c r="C54" s="14"/>
      <c r="D54" s="14"/>
    </row>
    <row r="55" spans="1:5">
      <c r="B55" s="18"/>
      <c r="C55" s="17"/>
      <c r="D55" s="16"/>
    </row>
    <row r="56" spans="1:5">
      <c r="B56" s="18"/>
      <c r="C56" s="17"/>
      <c r="D56" s="16"/>
    </row>
    <row r="57" spans="1:5">
      <c r="B57" s="18"/>
      <c r="C57" s="17"/>
      <c r="D57" s="16"/>
    </row>
    <row r="58" spans="1:5">
      <c r="A58" s="6"/>
      <c r="C58" s="17"/>
      <c r="D58" s="16"/>
    </row>
    <row r="60" spans="1:5">
      <c r="A60" s="14"/>
      <c r="B60" s="14"/>
      <c r="C60" s="14"/>
      <c r="D60" s="14"/>
    </row>
    <row r="61" spans="1:5">
      <c r="B61" s="18"/>
      <c r="C61" s="17"/>
      <c r="D61" s="16"/>
    </row>
    <row r="62" spans="1:5">
      <c r="B62" s="18"/>
      <c r="C62" s="17"/>
      <c r="D62" s="16"/>
    </row>
    <row r="63" spans="1:5">
      <c r="A63" s="6"/>
      <c r="D63" s="16"/>
    </row>
  </sheetData>
  <sheetProtection formatCells="0"/>
  <dataValidations count="4">
    <dataValidation allowBlank="1" showInputMessage="1" showErrorMessage="1" promptTitle="If Relevant?" prompt="The forcast is based upon revenue growth._x000a__x000a_For an established business you should definitely have the previous year's revenue.  _x000a__x000a_For a new business, you may or may not have had siginifcant revenue. If no significant revnue consider leaving blank." sqref="B4" xr:uid="{00000000-0002-0000-0000-000000000000}"/>
    <dataValidation allowBlank="1" showInputMessage="1" showErrorMessage="1" promptTitle="Expected return based upon WHO" prompt="If raising money from: _x000a__x000a_- Friends and family (people investing in you) &gt;= 2 might be appropriate_x000a__x000a_- Angels 5-10 (taking most risk)_x000a__x000a_-VC 3-7 (accelorating growth)_x000a__x000a_- Going Public &gt;= 1.5 (Established)" sqref="B6" xr:uid="{00000000-0002-0000-0000-000001000000}"/>
    <dataValidation allowBlank="1" showInputMessage="1" showErrorMessage="1" promptTitle="New Money in = Chance to Exit" prompt="Example multipliers:_x000a_[1.5 - 2.5]: generic business (e.g. drycleaner)_x000a_[2.5 -5]: Toys, Building Materials, Banks, Senior Living_x000a_[5 -10]: Pharma, Semi-Conductors, Advertising_x000a_[10 or greater]: Medical Devices, Business/Finacial Services, Software_x000a__x000a_" sqref="B10" xr:uid="{00000000-0002-0000-0000-000002000000}"/>
    <dataValidation allowBlank="1" showInputMessage="1" showErrorMessage="1" promptTitle="How will you grow?" prompt="This depends on a lot of factors (e.g. Industry, Stage of Development)._x000a__x000a_- 500% will give you a nice early stage hockey stick._x000a__x000a_- As your company matures 125% can be good growth._x000a__x000a_-For generic companies consider inflation adjusted growth. " sqref="B12" xr:uid="{00000000-0002-0000-0000-000003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DownBy1">
                <anchor moveWithCells="1" sizeWithCells="1">
                  <from>
                    <xdr:col>8</xdr:col>
                    <xdr:colOff>320040</xdr:colOff>
                    <xdr:row>40</xdr:row>
                    <xdr:rowOff>0</xdr:rowOff>
                  </from>
                  <to>
                    <xdr:col>9</xdr:col>
                    <xdr:colOff>7620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mpBy5">
                <anchor moveWithCells="1" sizeWithCells="1">
                  <from>
                    <xdr:col>9</xdr:col>
                    <xdr:colOff>7620</xdr:colOff>
                    <xdr:row>39</xdr:row>
                    <xdr:rowOff>182880</xdr:rowOff>
                  </from>
                  <to>
                    <xdr:col>9</xdr:col>
                    <xdr:colOff>320040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DownBy5">
                <anchor moveWithCells="1" sizeWithCells="1">
                  <from>
                    <xdr:col>9</xdr:col>
                    <xdr:colOff>320040</xdr:colOff>
                    <xdr:row>39</xdr:row>
                    <xdr:rowOff>182880</xdr:rowOff>
                  </from>
                  <to>
                    <xdr:col>10</xdr:col>
                    <xdr:colOff>7620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BumpBy1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8</xdr:col>
                    <xdr:colOff>312420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BumpBy50">
                <anchor moveWithCells="1" sizeWithCells="1">
                  <from>
                    <xdr:col>10</xdr:col>
                    <xdr:colOff>15240</xdr:colOff>
                    <xdr:row>39</xdr:row>
                    <xdr:rowOff>182880</xdr:rowOff>
                  </from>
                  <to>
                    <xdr:col>10</xdr:col>
                    <xdr:colOff>327660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39</xdr:row>
                    <xdr:rowOff>182880</xdr:rowOff>
                  </from>
                  <to>
                    <xdr:col>11</xdr:col>
                    <xdr:colOff>15240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39</xdr:row>
                    <xdr:rowOff>182880</xdr:rowOff>
                  </from>
                  <to>
                    <xdr:col>11</xdr:col>
                    <xdr:colOff>15240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BumpBy500">
                <anchor moveWithCells="1" sizeWithCells="1">
                  <from>
                    <xdr:col>11</xdr:col>
                    <xdr:colOff>22860</xdr:colOff>
                    <xdr:row>39</xdr:row>
                    <xdr:rowOff>182880</xdr:rowOff>
                  </from>
                  <to>
                    <xdr:col>11</xdr:col>
                    <xdr:colOff>327660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DownBy500">
                <anchor moveWithCells="1" sizeWithCells="1">
                  <from>
                    <xdr:col>11</xdr:col>
                    <xdr:colOff>335280</xdr:colOff>
                    <xdr:row>39</xdr:row>
                    <xdr:rowOff>182880</xdr:rowOff>
                  </from>
                  <to>
                    <xdr:col>12</xdr:col>
                    <xdr:colOff>22860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Row42DownBy1">
                <anchor moveWithCells="1" sizeWithCells="1">
                  <from>
                    <xdr:col>8</xdr:col>
                    <xdr:colOff>320040</xdr:colOff>
                    <xdr:row>41</xdr:row>
                    <xdr:rowOff>0</xdr:rowOff>
                  </from>
                  <to>
                    <xdr:col>9</xdr:col>
                    <xdr:colOff>7620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Row42BumpBy5">
                <anchor moveWithCells="1" sizeWithCells="1">
                  <from>
                    <xdr:col>9</xdr:col>
                    <xdr:colOff>7620</xdr:colOff>
                    <xdr:row>41</xdr:row>
                    <xdr:rowOff>0</xdr:rowOff>
                  </from>
                  <to>
                    <xdr:col>9</xdr:col>
                    <xdr:colOff>320040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Row42DownBy5">
                <anchor moveWithCells="1" sizeWithCells="1">
                  <from>
                    <xdr:col>9</xdr:col>
                    <xdr:colOff>320040</xdr:colOff>
                    <xdr:row>41</xdr:row>
                    <xdr:rowOff>0</xdr:rowOff>
                  </from>
                  <to>
                    <xdr:col>10</xdr:col>
                    <xdr:colOff>7620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Row42BumpBy1">
                <anchor moveWithCells="1" siz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8</xdr:col>
                    <xdr:colOff>312420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Row42BumpBy50">
                <anchor moveWithCells="1" sizeWithCells="1">
                  <from>
                    <xdr:col>10</xdr:col>
                    <xdr:colOff>15240</xdr:colOff>
                    <xdr:row>41</xdr:row>
                    <xdr:rowOff>0</xdr:rowOff>
                  </from>
                  <to>
                    <xdr:col>10</xdr:col>
                    <xdr:colOff>327660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41</xdr:row>
                    <xdr:rowOff>0</xdr:rowOff>
                  </from>
                  <to>
                    <xdr:col>11</xdr:col>
                    <xdr:colOff>15240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9" name="Button 28">
              <controlPr defaultSize="0" print="0" autoFill="0" autoPict="0" macro="[0]!Row42DownBy50">
                <anchor moveWithCells="1" sizeWithCells="1">
                  <from>
                    <xdr:col>10</xdr:col>
                    <xdr:colOff>327660</xdr:colOff>
                    <xdr:row>41</xdr:row>
                    <xdr:rowOff>0</xdr:rowOff>
                  </from>
                  <to>
                    <xdr:col>11</xdr:col>
                    <xdr:colOff>15240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Button 29">
              <controlPr defaultSize="0" print="0" autoFill="0" autoPict="0" macro="[0]!Row42BumpBy500">
                <anchor moveWithCells="1" sizeWithCells="1">
                  <from>
                    <xdr:col>11</xdr:col>
                    <xdr:colOff>22860</xdr:colOff>
                    <xdr:row>41</xdr:row>
                    <xdr:rowOff>0</xdr:rowOff>
                  </from>
                  <to>
                    <xdr:col>11</xdr:col>
                    <xdr:colOff>327660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Row42DownBy500">
                <anchor moveWithCells="1" sizeWithCells="1">
                  <from>
                    <xdr:col>11</xdr:col>
                    <xdr:colOff>335280</xdr:colOff>
                    <xdr:row>41</xdr:row>
                    <xdr:rowOff>0</xdr:rowOff>
                  </from>
                  <to>
                    <xdr:col>12</xdr:col>
                    <xdr:colOff>22860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Button 31">
              <controlPr defaultSize="0" print="0" autoFill="0" autoPict="0" macro="[0]!Row43DownBy1">
                <anchor moveWithCells="1" sizeWithCells="1">
                  <from>
                    <xdr:col>8</xdr:col>
                    <xdr:colOff>320040</xdr:colOff>
                    <xdr:row>41</xdr:row>
                    <xdr:rowOff>182880</xdr:rowOff>
                  </from>
                  <to>
                    <xdr:col>9</xdr:col>
                    <xdr:colOff>7620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Button 32">
              <controlPr defaultSize="0" print="0" autoFill="0" autoPict="0" macro="[0]!Row43BumpBy5">
                <anchor moveWithCells="1" sizeWithCells="1">
                  <from>
                    <xdr:col>9</xdr:col>
                    <xdr:colOff>7620</xdr:colOff>
                    <xdr:row>42</xdr:row>
                    <xdr:rowOff>0</xdr:rowOff>
                  </from>
                  <to>
                    <xdr:col>9</xdr:col>
                    <xdr:colOff>320040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Button 33">
              <controlPr defaultSize="0" print="0" autoFill="0" autoPict="0" macro="[0]!Row43DownBy5">
                <anchor moveWithCells="1" sizeWithCells="1">
                  <from>
                    <xdr:col>9</xdr:col>
                    <xdr:colOff>320040</xdr:colOff>
                    <xdr:row>42</xdr:row>
                    <xdr:rowOff>0</xdr:rowOff>
                  </from>
                  <to>
                    <xdr:col>10</xdr:col>
                    <xdr:colOff>7620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Button 34">
              <controlPr defaultSize="0" print="0" autoFill="0" autoPict="0" macro="[0]!Row43BumpBy1">
                <anchor moveWithCells="1" siz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8</xdr:col>
                    <xdr:colOff>312420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Button 35">
              <controlPr defaultSize="0" print="0" autoFill="0" autoPict="0" macro="[0]!Row43BumpBy50">
                <anchor moveWithCells="1" sizeWithCells="1">
                  <from>
                    <xdr:col>10</xdr:col>
                    <xdr:colOff>15240</xdr:colOff>
                    <xdr:row>42</xdr:row>
                    <xdr:rowOff>0</xdr:rowOff>
                  </from>
                  <to>
                    <xdr:col>10</xdr:col>
                    <xdr:colOff>327660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42</xdr:row>
                    <xdr:rowOff>0</xdr:rowOff>
                  </from>
                  <to>
                    <xdr:col>11</xdr:col>
                    <xdr:colOff>15240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8" name="Button 37">
              <controlPr defaultSize="0" print="0" autoFill="0" autoPict="0" macro="[0]!Row43DownBy50">
                <anchor moveWithCells="1" sizeWithCells="1">
                  <from>
                    <xdr:col>10</xdr:col>
                    <xdr:colOff>327660</xdr:colOff>
                    <xdr:row>42</xdr:row>
                    <xdr:rowOff>0</xdr:rowOff>
                  </from>
                  <to>
                    <xdr:col>11</xdr:col>
                    <xdr:colOff>15240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9" name="Button 38">
              <controlPr defaultSize="0" print="0" autoFill="0" autoPict="0" macro="[0]!Row43BumpBy500">
                <anchor moveWithCells="1" sizeWithCells="1">
                  <from>
                    <xdr:col>11</xdr:col>
                    <xdr:colOff>22860</xdr:colOff>
                    <xdr:row>42</xdr:row>
                    <xdr:rowOff>0</xdr:rowOff>
                  </from>
                  <to>
                    <xdr:col>11</xdr:col>
                    <xdr:colOff>327660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0" name="Button 39">
              <controlPr defaultSize="0" print="0" autoFill="0" autoPict="0" macro="[0]!Row43DownBy500">
                <anchor moveWithCells="1" sizeWithCells="1">
                  <from>
                    <xdr:col>11</xdr:col>
                    <xdr:colOff>335280</xdr:colOff>
                    <xdr:row>42</xdr:row>
                    <xdr:rowOff>0</xdr:rowOff>
                  </from>
                  <to>
                    <xdr:col>12</xdr:col>
                    <xdr:colOff>22860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1" name="Button 40">
              <controlPr defaultSize="0" print="0" autoFill="0" autoPict="0" macro="[0]!Row44DownBy1">
                <anchor moveWithCells="1" sizeWithCells="1">
                  <from>
                    <xdr:col>8</xdr:col>
                    <xdr:colOff>320040</xdr:colOff>
                    <xdr:row>43</xdr:row>
                    <xdr:rowOff>0</xdr:rowOff>
                  </from>
                  <to>
                    <xdr:col>9</xdr:col>
                    <xdr:colOff>7620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2" name="Button 41">
              <controlPr defaultSize="0" print="0" autoFill="0" autoPict="0" macro="[0]!Row44BumpBy5">
                <anchor moveWithCells="1" sizeWithCells="1">
                  <from>
                    <xdr:col>9</xdr:col>
                    <xdr:colOff>7620</xdr:colOff>
                    <xdr:row>42</xdr:row>
                    <xdr:rowOff>182880</xdr:rowOff>
                  </from>
                  <to>
                    <xdr:col>9</xdr:col>
                    <xdr:colOff>320040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3" name="Button 42">
              <controlPr defaultSize="0" print="0" autoFill="0" autoPict="0" macro="[0]!Row44DownBy5">
                <anchor moveWithCells="1" sizeWithCells="1">
                  <from>
                    <xdr:col>9</xdr:col>
                    <xdr:colOff>320040</xdr:colOff>
                    <xdr:row>42</xdr:row>
                    <xdr:rowOff>182880</xdr:rowOff>
                  </from>
                  <to>
                    <xdr:col>10</xdr:col>
                    <xdr:colOff>7620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4" name="Button 43">
              <controlPr defaultSize="0" print="0" autoFill="0" autoPict="0" macro="[0]!Row44BumpBy1">
                <anchor moveWithCells="1" siz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8</xdr:col>
                    <xdr:colOff>312420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5" name="Button 44">
              <controlPr defaultSize="0" print="0" autoFill="0" autoPict="0" macro="[0]!Row44BumpBy50">
                <anchor moveWithCells="1" sizeWithCells="1">
                  <from>
                    <xdr:col>10</xdr:col>
                    <xdr:colOff>15240</xdr:colOff>
                    <xdr:row>42</xdr:row>
                    <xdr:rowOff>182880</xdr:rowOff>
                  </from>
                  <to>
                    <xdr:col>10</xdr:col>
                    <xdr:colOff>327660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6" name="Button 45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42</xdr:row>
                    <xdr:rowOff>182880</xdr:rowOff>
                  </from>
                  <to>
                    <xdr:col>11</xdr:col>
                    <xdr:colOff>15240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7" name="Button 46">
              <controlPr defaultSize="0" print="0" autoFill="0" autoPict="0" macro="[0]!Row44DownBy50">
                <anchor moveWithCells="1" sizeWithCells="1">
                  <from>
                    <xdr:col>10</xdr:col>
                    <xdr:colOff>327660</xdr:colOff>
                    <xdr:row>42</xdr:row>
                    <xdr:rowOff>182880</xdr:rowOff>
                  </from>
                  <to>
                    <xdr:col>11</xdr:col>
                    <xdr:colOff>15240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8" name="Button 47">
              <controlPr defaultSize="0" print="0" autoFill="0" autoPict="0" macro="[0]!Row44BumpBy500">
                <anchor moveWithCells="1" sizeWithCells="1">
                  <from>
                    <xdr:col>11</xdr:col>
                    <xdr:colOff>22860</xdr:colOff>
                    <xdr:row>42</xdr:row>
                    <xdr:rowOff>182880</xdr:rowOff>
                  </from>
                  <to>
                    <xdr:col>11</xdr:col>
                    <xdr:colOff>327660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9" name="Button 48">
              <controlPr defaultSize="0" print="0" autoFill="0" autoPict="0" macro="[0]!Row44DownBy500">
                <anchor moveWithCells="1" sizeWithCells="1">
                  <from>
                    <xdr:col>11</xdr:col>
                    <xdr:colOff>335280</xdr:colOff>
                    <xdr:row>42</xdr:row>
                    <xdr:rowOff>182880</xdr:rowOff>
                  </from>
                  <to>
                    <xdr:col>12</xdr:col>
                    <xdr:colOff>22860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0" name="Button 49">
              <controlPr defaultSize="0" print="0" autoFill="0" autoPict="0" macro="[0]!Row45DownBy1">
                <anchor moveWithCells="1" sizeWithCells="1">
                  <from>
                    <xdr:col>8</xdr:col>
                    <xdr:colOff>320040</xdr:colOff>
                    <xdr:row>43</xdr:row>
                    <xdr:rowOff>182880</xdr:rowOff>
                  </from>
                  <to>
                    <xdr:col>9</xdr:col>
                    <xdr:colOff>7620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1" name="Button 50">
              <controlPr defaultSize="0" print="0" autoFill="0" autoPict="0" macro="[0]!Row45BumpBy5">
                <anchor moveWithCells="1" sizeWithCells="1">
                  <from>
                    <xdr:col>9</xdr:col>
                    <xdr:colOff>7620</xdr:colOff>
                    <xdr:row>44</xdr:row>
                    <xdr:rowOff>0</xdr:rowOff>
                  </from>
                  <to>
                    <xdr:col>9</xdr:col>
                    <xdr:colOff>320040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2" name="Button 51">
              <controlPr defaultSize="0" print="0" autoFill="0" autoPict="0" macro="[0]!Row45DownBy5">
                <anchor moveWithCells="1" sizeWithCells="1">
                  <from>
                    <xdr:col>9</xdr:col>
                    <xdr:colOff>320040</xdr:colOff>
                    <xdr:row>44</xdr:row>
                    <xdr:rowOff>0</xdr:rowOff>
                  </from>
                  <to>
                    <xdr:col>10</xdr:col>
                    <xdr:colOff>7620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3" name="Button 52">
              <controlPr defaultSize="0" print="0" autoFill="0" autoPict="0" macro="[0]!Row45BumpBy1">
                <anchor moveWithCells="1" siz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8</xdr:col>
                    <xdr:colOff>312420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4" name="Button 53">
              <controlPr defaultSize="0" print="0" autoFill="0" autoPict="0" macro="[0]!Row45BumpBy50">
                <anchor moveWithCells="1" sizeWithCells="1">
                  <from>
                    <xdr:col>10</xdr:col>
                    <xdr:colOff>15240</xdr:colOff>
                    <xdr:row>44</xdr:row>
                    <xdr:rowOff>0</xdr:rowOff>
                  </from>
                  <to>
                    <xdr:col>10</xdr:col>
                    <xdr:colOff>327660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5" name="Button 54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44</xdr:row>
                    <xdr:rowOff>0</xdr:rowOff>
                  </from>
                  <to>
                    <xdr:col>11</xdr:col>
                    <xdr:colOff>15240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6" name="Button 55">
              <controlPr defaultSize="0" print="0" autoFill="0" autoPict="0" macro="[0]!Row45DownBy50">
                <anchor moveWithCells="1" sizeWithCells="1">
                  <from>
                    <xdr:col>10</xdr:col>
                    <xdr:colOff>327660</xdr:colOff>
                    <xdr:row>44</xdr:row>
                    <xdr:rowOff>0</xdr:rowOff>
                  </from>
                  <to>
                    <xdr:col>11</xdr:col>
                    <xdr:colOff>15240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7" name="Button 56">
              <controlPr defaultSize="0" print="0" autoFill="0" autoPict="0" macro="[0]!Row45BumpBy500">
                <anchor moveWithCells="1" sizeWithCells="1">
                  <from>
                    <xdr:col>11</xdr:col>
                    <xdr:colOff>22860</xdr:colOff>
                    <xdr:row>44</xdr:row>
                    <xdr:rowOff>0</xdr:rowOff>
                  </from>
                  <to>
                    <xdr:col>11</xdr:col>
                    <xdr:colOff>327660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8" name="Button 57">
              <controlPr defaultSize="0" print="0" autoFill="0" autoPict="0" macro="[0]!Row45DownBy500">
                <anchor moveWithCells="1" sizeWithCells="1">
                  <from>
                    <xdr:col>11</xdr:col>
                    <xdr:colOff>335280</xdr:colOff>
                    <xdr:row>44</xdr:row>
                    <xdr:rowOff>0</xdr:rowOff>
                  </from>
                  <to>
                    <xdr:col>12</xdr:col>
                    <xdr:colOff>22860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49" name="Button 103">
              <controlPr defaultSize="0" print="0" autoFill="0" autoPict="0" macro="[0]!Row34DownBy1">
                <anchor moveWithCells="1" sizeWithCells="1">
                  <from>
                    <xdr:col>8</xdr:col>
                    <xdr:colOff>320040</xdr:colOff>
                    <xdr:row>32</xdr:row>
                    <xdr:rowOff>182880</xdr:rowOff>
                  </from>
                  <to>
                    <xdr:col>9</xdr:col>
                    <xdr:colOff>7620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50" name="Button 104">
              <controlPr defaultSize="0" print="0" autoFill="0" autoPict="0" macro="[0]!Row34BumpBy5">
                <anchor moveWithCells="1" sizeWithCells="1">
                  <from>
                    <xdr:col>9</xdr:col>
                    <xdr:colOff>7620</xdr:colOff>
                    <xdr:row>33</xdr:row>
                    <xdr:rowOff>0</xdr:rowOff>
                  </from>
                  <to>
                    <xdr:col>9</xdr:col>
                    <xdr:colOff>320040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51" name="Button 105">
              <controlPr defaultSize="0" print="0" autoFill="0" autoPict="0" macro="[0]!Row34DownBy5">
                <anchor moveWithCells="1" sizeWithCells="1">
                  <from>
                    <xdr:col>9</xdr:col>
                    <xdr:colOff>320040</xdr:colOff>
                    <xdr:row>33</xdr:row>
                    <xdr:rowOff>0</xdr:rowOff>
                  </from>
                  <to>
                    <xdr:col>10</xdr:col>
                    <xdr:colOff>7620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52" name="Button 106">
              <controlPr defaultSize="0" print="0" autoFill="0" autoPict="0" macro="[0]!Row34BumpBy1">
                <anchor moveWithCells="1" siz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8</xdr:col>
                    <xdr:colOff>312420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53" name="Button 107">
              <controlPr defaultSize="0" print="0" autoFill="0" autoPict="0" macro="[0]!Row34BumpBy50">
                <anchor moveWithCells="1" sizeWithCells="1">
                  <from>
                    <xdr:col>10</xdr:col>
                    <xdr:colOff>15240</xdr:colOff>
                    <xdr:row>33</xdr:row>
                    <xdr:rowOff>0</xdr:rowOff>
                  </from>
                  <to>
                    <xdr:col>10</xdr:col>
                    <xdr:colOff>327660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54" name="Button 108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33</xdr:row>
                    <xdr:rowOff>0</xdr:rowOff>
                  </from>
                  <to>
                    <xdr:col>11</xdr:col>
                    <xdr:colOff>15240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55" name="Button 109">
              <controlPr defaultSize="0" print="0" autoFill="0" autoPict="0" macro="[0]!Row34DownBy50">
                <anchor moveWithCells="1" sizeWithCells="1">
                  <from>
                    <xdr:col>10</xdr:col>
                    <xdr:colOff>327660</xdr:colOff>
                    <xdr:row>33</xdr:row>
                    <xdr:rowOff>0</xdr:rowOff>
                  </from>
                  <to>
                    <xdr:col>11</xdr:col>
                    <xdr:colOff>15240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56" name="Button 110">
              <controlPr defaultSize="0" print="0" autoFill="0" autoPict="0" macro="[0]!Row34BumpBy500">
                <anchor moveWithCells="1" sizeWithCells="1">
                  <from>
                    <xdr:col>11</xdr:col>
                    <xdr:colOff>22860</xdr:colOff>
                    <xdr:row>33</xdr:row>
                    <xdr:rowOff>0</xdr:rowOff>
                  </from>
                  <to>
                    <xdr:col>11</xdr:col>
                    <xdr:colOff>327660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57" name="Button 111">
              <controlPr defaultSize="0" print="0" autoFill="0" autoPict="0" macro="[0]!Row34DownBy500">
                <anchor moveWithCells="1" sizeWithCells="1">
                  <from>
                    <xdr:col>11</xdr:col>
                    <xdr:colOff>335280</xdr:colOff>
                    <xdr:row>33</xdr:row>
                    <xdr:rowOff>0</xdr:rowOff>
                  </from>
                  <to>
                    <xdr:col>12</xdr:col>
                    <xdr:colOff>22860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58" name="Button 112">
              <controlPr defaultSize="0" print="0" autoFill="0" autoPict="0" macro="[0]!Row35DownBy1">
                <anchor moveWithCells="1" sizeWithCells="1">
                  <from>
                    <xdr:col>8</xdr:col>
                    <xdr:colOff>320040</xdr:colOff>
                    <xdr:row>34</xdr:row>
                    <xdr:rowOff>0</xdr:rowOff>
                  </from>
                  <to>
                    <xdr:col>9</xdr:col>
                    <xdr:colOff>7620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59" name="Button 113">
              <controlPr defaultSize="0" print="0" autoFill="0" autoPict="0" macro="[0]!Row35BumpBy5">
                <anchor moveWithCells="1" sizeWithCells="1">
                  <from>
                    <xdr:col>9</xdr:col>
                    <xdr:colOff>7620</xdr:colOff>
                    <xdr:row>34</xdr:row>
                    <xdr:rowOff>0</xdr:rowOff>
                  </from>
                  <to>
                    <xdr:col>9</xdr:col>
                    <xdr:colOff>320040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60" name="Button 114">
              <controlPr defaultSize="0" print="0" autoFill="0" autoPict="0" macro="[0]!Row35DownBy5">
                <anchor moveWithCells="1" sizeWithCells="1">
                  <from>
                    <xdr:col>9</xdr:col>
                    <xdr:colOff>320040</xdr:colOff>
                    <xdr:row>33</xdr:row>
                    <xdr:rowOff>182880</xdr:rowOff>
                  </from>
                  <to>
                    <xdr:col>10</xdr:col>
                    <xdr:colOff>7620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61" name="Button 115">
              <controlPr defaultSize="0" print="0" autoFill="0" autoPict="0" macro="[0]!Row35BumpBy1">
                <anchor moveWithCells="1" siz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8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62" name="Button 116">
              <controlPr defaultSize="0" print="0" autoFill="0" autoPict="0" macro="[0]!Row35BumpBy50">
                <anchor moveWithCells="1" sizeWithCells="1">
                  <from>
                    <xdr:col>10</xdr:col>
                    <xdr:colOff>15240</xdr:colOff>
                    <xdr:row>33</xdr:row>
                    <xdr:rowOff>182880</xdr:rowOff>
                  </from>
                  <to>
                    <xdr:col>10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63" name="Button 117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33</xdr:row>
                    <xdr:rowOff>182880</xdr:rowOff>
                  </from>
                  <to>
                    <xdr:col>11</xdr:col>
                    <xdr:colOff>15240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64" name="Button 118">
              <controlPr defaultSize="0" print="0" autoFill="0" autoPict="0" macro="[0]!Row35DownBy50">
                <anchor moveWithCells="1" sizeWithCells="1">
                  <from>
                    <xdr:col>10</xdr:col>
                    <xdr:colOff>327660</xdr:colOff>
                    <xdr:row>33</xdr:row>
                    <xdr:rowOff>182880</xdr:rowOff>
                  </from>
                  <to>
                    <xdr:col>11</xdr:col>
                    <xdr:colOff>15240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65" name="Button 119">
              <controlPr defaultSize="0" print="0" autoFill="0" autoPict="0" macro="[0]!Row35BumpBy500">
                <anchor moveWithCells="1" sizeWithCells="1">
                  <from>
                    <xdr:col>11</xdr:col>
                    <xdr:colOff>22860</xdr:colOff>
                    <xdr:row>33</xdr:row>
                    <xdr:rowOff>182880</xdr:rowOff>
                  </from>
                  <to>
                    <xdr:col>11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66" name="Button 120">
              <controlPr defaultSize="0" print="0" autoFill="0" autoPict="0" macro="[0]!Row35DownBy500">
                <anchor moveWithCells="1" sizeWithCells="1">
                  <from>
                    <xdr:col>11</xdr:col>
                    <xdr:colOff>335280</xdr:colOff>
                    <xdr:row>33</xdr:row>
                    <xdr:rowOff>182880</xdr:rowOff>
                  </from>
                  <to>
                    <xdr:col>12</xdr:col>
                    <xdr:colOff>22860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67" name="Button 121">
              <controlPr defaultSize="0" print="0" autoFill="0" autoPict="0" macro="[0]!Row36DownBy1">
                <anchor moveWithCells="1" sizeWithCells="1">
                  <from>
                    <xdr:col>8</xdr:col>
                    <xdr:colOff>320040</xdr:colOff>
                    <xdr:row>35</xdr:row>
                    <xdr:rowOff>0</xdr:rowOff>
                  </from>
                  <to>
                    <xdr:col>9</xdr:col>
                    <xdr:colOff>7620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68" name="Button 122">
              <controlPr defaultSize="0" print="0" autoFill="0" autoPict="0" macro="[0]!Row36BumpBy5">
                <anchor moveWithCells="1" sizeWithCells="1">
                  <from>
                    <xdr:col>9</xdr:col>
                    <xdr:colOff>7620</xdr:colOff>
                    <xdr:row>35</xdr:row>
                    <xdr:rowOff>0</xdr:rowOff>
                  </from>
                  <to>
                    <xdr:col>9</xdr:col>
                    <xdr:colOff>320040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69" name="Button 123">
              <controlPr defaultSize="0" print="0" autoFill="0" autoPict="0" macro="[0]!Row36DownBy5">
                <anchor moveWithCells="1" sizeWithCells="1">
                  <from>
                    <xdr:col>9</xdr:col>
                    <xdr:colOff>320040</xdr:colOff>
                    <xdr:row>35</xdr:row>
                    <xdr:rowOff>0</xdr:rowOff>
                  </from>
                  <to>
                    <xdr:col>10</xdr:col>
                    <xdr:colOff>7620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70" name="Button 124">
              <controlPr defaultSize="0" print="0" autoFill="0" autoPict="0" macro="[0]!Row36BumpBy1">
                <anchor moveWithCells="1" siz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8</xdr:col>
                    <xdr:colOff>312420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71" name="Button 125">
              <controlPr defaultSize="0" print="0" autoFill="0" autoPict="0" macro="[0]!Row36BumpBy50">
                <anchor moveWithCells="1" sizeWithCells="1">
                  <from>
                    <xdr:col>10</xdr:col>
                    <xdr:colOff>15240</xdr:colOff>
                    <xdr:row>35</xdr:row>
                    <xdr:rowOff>0</xdr:rowOff>
                  </from>
                  <to>
                    <xdr:col>10</xdr:col>
                    <xdr:colOff>327660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72" name="Button 126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35</xdr:row>
                    <xdr:rowOff>0</xdr:rowOff>
                  </from>
                  <to>
                    <xdr:col>11</xdr:col>
                    <xdr:colOff>15240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73" name="Button 127">
              <controlPr defaultSize="0" print="0" autoFill="0" autoPict="0" macro="[0]!Row36DownBy50">
                <anchor moveWithCells="1" sizeWithCells="1">
                  <from>
                    <xdr:col>10</xdr:col>
                    <xdr:colOff>327660</xdr:colOff>
                    <xdr:row>35</xdr:row>
                    <xdr:rowOff>0</xdr:rowOff>
                  </from>
                  <to>
                    <xdr:col>11</xdr:col>
                    <xdr:colOff>15240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74" name="Button 128">
              <controlPr defaultSize="0" print="0" autoFill="0" autoPict="0" macro="[0]!Row36BumpBy500">
                <anchor moveWithCells="1" sizeWithCells="1">
                  <from>
                    <xdr:col>11</xdr:col>
                    <xdr:colOff>22860</xdr:colOff>
                    <xdr:row>35</xdr:row>
                    <xdr:rowOff>0</xdr:rowOff>
                  </from>
                  <to>
                    <xdr:col>11</xdr:col>
                    <xdr:colOff>327660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75" name="Button 129">
              <controlPr defaultSize="0" print="0" autoFill="0" autoPict="0" macro="[0]!Row36DownBy500">
                <anchor moveWithCells="1" sizeWithCells="1">
                  <from>
                    <xdr:col>11</xdr:col>
                    <xdr:colOff>335280</xdr:colOff>
                    <xdr:row>35</xdr:row>
                    <xdr:rowOff>0</xdr:rowOff>
                  </from>
                  <to>
                    <xdr:col>12</xdr:col>
                    <xdr:colOff>22860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76" name="Button 130">
              <controlPr defaultSize="0" print="0" autoFill="0" autoPict="0" macro="[0]!Row37DownBy1">
                <anchor moveWithCells="1" sizeWithCells="1">
                  <from>
                    <xdr:col>8</xdr:col>
                    <xdr:colOff>320040</xdr:colOff>
                    <xdr:row>36</xdr:row>
                    <xdr:rowOff>0</xdr:rowOff>
                  </from>
                  <to>
                    <xdr:col>9</xdr:col>
                    <xdr:colOff>7620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77" name="Button 131">
              <controlPr defaultSize="0" print="0" autoFill="0" autoPict="0" macro="[0]!Row37BumpBy5">
                <anchor moveWithCells="1" sizeWithCells="1">
                  <from>
                    <xdr:col>9</xdr:col>
                    <xdr:colOff>7620</xdr:colOff>
                    <xdr:row>36</xdr:row>
                    <xdr:rowOff>0</xdr:rowOff>
                  </from>
                  <to>
                    <xdr:col>9</xdr:col>
                    <xdr:colOff>320040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78" name="Button 132">
              <controlPr defaultSize="0" print="0" autoFill="0" autoPict="0" macro="[0]!Row37DownBy5">
                <anchor moveWithCells="1" sizeWithCells="1">
                  <from>
                    <xdr:col>9</xdr:col>
                    <xdr:colOff>320040</xdr:colOff>
                    <xdr:row>36</xdr:row>
                    <xdr:rowOff>0</xdr:rowOff>
                  </from>
                  <to>
                    <xdr:col>10</xdr:col>
                    <xdr:colOff>7620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79" name="Button 133">
              <controlPr defaultSize="0" print="0" autoFill="0" autoPict="0" macro="[0]!Row37BumpBy1">
                <anchor moveWithCells="1" siz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8</xdr:col>
                    <xdr:colOff>312420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80" name="Button 134">
              <controlPr defaultSize="0" print="0" autoFill="0" autoPict="0" macro="[0]!Row37BumpBy50">
                <anchor moveWithCells="1" sizeWithCells="1">
                  <from>
                    <xdr:col>10</xdr:col>
                    <xdr:colOff>15240</xdr:colOff>
                    <xdr:row>36</xdr:row>
                    <xdr:rowOff>0</xdr:rowOff>
                  </from>
                  <to>
                    <xdr:col>10</xdr:col>
                    <xdr:colOff>327660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81" name="Button 135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36</xdr:row>
                    <xdr:rowOff>0</xdr:rowOff>
                  </from>
                  <to>
                    <xdr:col>11</xdr:col>
                    <xdr:colOff>15240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82" name="Button 136">
              <controlPr defaultSize="0" print="0" autoFill="0" autoPict="0" macro="[0]!Row37DownBy50">
                <anchor moveWithCells="1" sizeWithCells="1">
                  <from>
                    <xdr:col>10</xdr:col>
                    <xdr:colOff>327660</xdr:colOff>
                    <xdr:row>36</xdr:row>
                    <xdr:rowOff>0</xdr:rowOff>
                  </from>
                  <to>
                    <xdr:col>11</xdr:col>
                    <xdr:colOff>15240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83" name="Button 137">
              <controlPr defaultSize="0" print="0" autoFill="0" autoPict="0" macro="[0]!Row37BumpBy500">
                <anchor moveWithCells="1" sizeWithCells="1">
                  <from>
                    <xdr:col>11</xdr:col>
                    <xdr:colOff>22860</xdr:colOff>
                    <xdr:row>36</xdr:row>
                    <xdr:rowOff>0</xdr:rowOff>
                  </from>
                  <to>
                    <xdr:col>11</xdr:col>
                    <xdr:colOff>327660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84" name="Button 138">
              <controlPr defaultSize="0" print="0" autoFill="0" autoPict="0" macro="[0]!Row37DownBy500">
                <anchor moveWithCells="1" sizeWithCells="1">
                  <from>
                    <xdr:col>11</xdr:col>
                    <xdr:colOff>335280</xdr:colOff>
                    <xdr:row>36</xdr:row>
                    <xdr:rowOff>0</xdr:rowOff>
                  </from>
                  <to>
                    <xdr:col>12</xdr:col>
                    <xdr:colOff>22860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85" name="Button 139">
              <controlPr defaultSize="0" print="0" autoFill="0" autoPict="0" macro="[0]!Row38DownBy1">
                <anchor moveWithCells="1" sizeWithCells="1">
                  <from>
                    <xdr:col>8</xdr:col>
                    <xdr:colOff>320040</xdr:colOff>
                    <xdr:row>37</xdr:row>
                    <xdr:rowOff>0</xdr:rowOff>
                  </from>
                  <to>
                    <xdr:col>9</xdr:col>
                    <xdr:colOff>7620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86" name="Button 140">
              <controlPr defaultSize="0" print="0" autoFill="0" autoPict="0" macro="[0]!Row38BumpBy5">
                <anchor moveWithCells="1" sizeWithCells="1">
                  <from>
                    <xdr:col>9</xdr:col>
                    <xdr:colOff>7620</xdr:colOff>
                    <xdr:row>37</xdr:row>
                    <xdr:rowOff>0</xdr:rowOff>
                  </from>
                  <to>
                    <xdr:col>9</xdr:col>
                    <xdr:colOff>320040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87" name="Button 141">
              <controlPr defaultSize="0" print="0" autoFill="0" autoPict="0" macro="[0]!Row38DownBy5">
                <anchor moveWithCells="1" sizeWithCells="1">
                  <from>
                    <xdr:col>9</xdr:col>
                    <xdr:colOff>320040</xdr:colOff>
                    <xdr:row>36</xdr:row>
                    <xdr:rowOff>182880</xdr:rowOff>
                  </from>
                  <to>
                    <xdr:col>10</xdr:col>
                    <xdr:colOff>7620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88" name="Button 142">
              <controlPr defaultSize="0" print="0" autoFill="0" autoPict="0" macro="[0]!Row38BumpBy1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8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9" name="Button 143">
              <controlPr defaultSize="0" print="0" autoFill="0" autoPict="0" macro="[0]!Row38BumpBy50">
                <anchor moveWithCells="1" sizeWithCells="1">
                  <from>
                    <xdr:col>10</xdr:col>
                    <xdr:colOff>15240</xdr:colOff>
                    <xdr:row>36</xdr:row>
                    <xdr:rowOff>182880</xdr:rowOff>
                  </from>
                  <to>
                    <xdr:col>10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90" name="Button 144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36</xdr:row>
                    <xdr:rowOff>182880</xdr:rowOff>
                  </from>
                  <to>
                    <xdr:col>11</xdr:col>
                    <xdr:colOff>15240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1" name="Button 145">
              <controlPr defaultSize="0" print="0" autoFill="0" autoPict="0" macro="[0]!Row38DownBy50">
                <anchor moveWithCells="1" sizeWithCells="1">
                  <from>
                    <xdr:col>10</xdr:col>
                    <xdr:colOff>327660</xdr:colOff>
                    <xdr:row>36</xdr:row>
                    <xdr:rowOff>182880</xdr:rowOff>
                  </from>
                  <to>
                    <xdr:col>11</xdr:col>
                    <xdr:colOff>15240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92" name="Button 146">
              <controlPr defaultSize="0" print="0" autoFill="0" autoPict="0" macro="[0]!Row38BumpBy500">
                <anchor moveWithCells="1" sizeWithCells="1">
                  <from>
                    <xdr:col>11</xdr:col>
                    <xdr:colOff>22860</xdr:colOff>
                    <xdr:row>36</xdr:row>
                    <xdr:rowOff>182880</xdr:rowOff>
                  </from>
                  <to>
                    <xdr:col>11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3" name="Button 147">
              <controlPr defaultSize="0" print="0" autoFill="0" autoPict="0" macro="[0]!Row38DownBy500">
                <anchor moveWithCells="1" sizeWithCells="1">
                  <from>
                    <xdr:col>11</xdr:col>
                    <xdr:colOff>335280</xdr:colOff>
                    <xdr:row>36</xdr:row>
                    <xdr:rowOff>182880</xdr:rowOff>
                  </from>
                  <to>
                    <xdr:col>12</xdr:col>
                    <xdr:colOff>22860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94" name="Button 148">
              <controlPr defaultSize="0" print="0" autoFill="0" autoPict="0" macro="[0]!Row27DownBy1">
                <anchor moveWithCells="1" sizeWithCells="1">
                  <from>
                    <xdr:col>8</xdr:col>
                    <xdr:colOff>320040</xdr:colOff>
                    <xdr:row>26</xdr:row>
                    <xdr:rowOff>0</xdr:rowOff>
                  </from>
                  <to>
                    <xdr:col>9</xdr:col>
                    <xdr:colOff>7620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95" name="Button 149">
              <controlPr defaultSize="0" print="0" autoFill="0" autoPict="0" macro="[0]!Row27BumpBy5">
                <anchor moveWithCells="1" sizeWithCells="1">
                  <from>
                    <xdr:col>9</xdr:col>
                    <xdr:colOff>7620</xdr:colOff>
                    <xdr:row>26</xdr:row>
                    <xdr:rowOff>0</xdr:rowOff>
                  </from>
                  <to>
                    <xdr:col>9</xdr:col>
                    <xdr:colOff>320040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96" name="Button 150">
              <controlPr defaultSize="0" print="0" autoFill="0" autoPict="0" macro="[0]!Row27DownBy5">
                <anchor moveWithCells="1" sizeWithCells="1">
                  <from>
                    <xdr:col>9</xdr:col>
                    <xdr:colOff>320040</xdr:colOff>
                    <xdr:row>26</xdr:row>
                    <xdr:rowOff>0</xdr:rowOff>
                  </from>
                  <to>
                    <xdr:col>10</xdr:col>
                    <xdr:colOff>7620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97" name="Button 151">
              <controlPr defaultSize="0" print="0" autoFill="0" autoPict="0" macro="[0]!Row27BumpBy1">
                <anchor moveWithCells="1" siz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8</xdr:col>
                    <xdr:colOff>312420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98" name="Button 152">
              <controlPr defaultSize="0" print="0" autoFill="0" autoPict="0" macro="[0]!Row27BumpBy50">
                <anchor moveWithCells="1" sizeWithCells="1">
                  <from>
                    <xdr:col>10</xdr:col>
                    <xdr:colOff>15240</xdr:colOff>
                    <xdr:row>26</xdr:row>
                    <xdr:rowOff>0</xdr:rowOff>
                  </from>
                  <to>
                    <xdr:col>10</xdr:col>
                    <xdr:colOff>327660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99" name="Button 153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26</xdr:row>
                    <xdr:rowOff>0</xdr:rowOff>
                  </from>
                  <to>
                    <xdr:col>11</xdr:col>
                    <xdr:colOff>15240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00" name="Button 154">
              <controlPr defaultSize="0" print="0" autoFill="0" autoPict="0" macro="[0]!Row27DownBy50">
                <anchor moveWithCells="1" sizeWithCells="1">
                  <from>
                    <xdr:col>10</xdr:col>
                    <xdr:colOff>327660</xdr:colOff>
                    <xdr:row>26</xdr:row>
                    <xdr:rowOff>0</xdr:rowOff>
                  </from>
                  <to>
                    <xdr:col>11</xdr:col>
                    <xdr:colOff>15240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01" name="Button 155">
              <controlPr defaultSize="0" print="0" autoFill="0" autoPict="0" macro="[0]!Row27BumpBy500">
                <anchor moveWithCells="1" sizeWithCells="1">
                  <from>
                    <xdr:col>11</xdr:col>
                    <xdr:colOff>22860</xdr:colOff>
                    <xdr:row>26</xdr:row>
                    <xdr:rowOff>0</xdr:rowOff>
                  </from>
                  <to>
                    <xdr:col>11</xdr:col>
                    <xdr:colOff>327660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02" name="Button 156">
              <controlPr defaultSize="0" print="0" autoFill="0" autoPict="0" macro="[0]!Row27DownBy500">
                <anchor moveWithCells="1" sizeWithCells="1">
                  <from>
                    <xdr:col>11</xdr:col>
                    <xdr:colOff>335280</xdr:colOff>
                    <xdr:row>26</xdr:row>
                    <xdr:rowOff>0</xdr:rowOff>
                  </from>
                  <to>
                    <xdr:col>12</xdr:col>
                    <xdr:colOff>22860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03" name="Button 157">
              <controlPr defaultSize="0" print="0" autoFill="0" autoPict="0" macro="[0]!Row28DownBy1">
                <anchor moveWithCells="1" sizeWithCells="1">
                  <from>
                    <xdr:col>8</xdr:col>
                    <xdr:colOff>320040</xdr:colOff>
                    <xdr:row>26</xdr:row>
                    <xdr:rowOff>182880</xdr:rowOff>
                  </from>
                  <to>
                    <xdr:col>9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04" name="Button 158">
              <controlPr defaultSize="0" print="0" autoFill="0" autoPict="0" macro="[0]!Row28BumpBy5">
                <anchor moveWithCells="1" sizeWithCells="1">
                  <from>
                    <xdr:col>9</xdr:col>
                    <xdr:colOff>7620</xdr:colOff>
                    <xdr:row>27</xdr:row>
                    <xdr:rowOff>0</xdr:rowOff>
                  </from>
                  <to>
                    <xdr:col>9</xdr:col>
                    <xdr:colOff>320040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05" name="Button 159">
              <controlPr defaultSize="0" print="0" autoFill="0" autoPict="0" macro="[0]!Row28DownBy5">
                <anchor moveWithCells="1" sizeWithCells="1">
                  <from>
                    <xdr:col>9</xdr:col>
                    <xdr:colOff>320040</xdr:colOff>
                    <xdr:row>27</xdr:row>
                    <xdr:rowOff>0</xdr:rowOff>
                  </from>
                  <to>
                    <xdr:col>10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06" name="Button 160">
              <controlPr defaultSize="0" print="0" autoFill="0" autoPict="0" macro="[0]!Row28BumpBy1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8</xdr:col>
                    <xdr:colOff>312420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07" name="Button 161">
              <controlPr defaultSize="0" print="0" autoFill="0" autoPict="0" macro="[0]!Row28BumpBy50">
                <anchor moveWithCells="1" sizeWithCells="1">
                  <from>
                    <xdr:col>10</xdr:col>
                    <xdr:colOff>15240</xdr:colOff>
                    <xdr:row>27</xdr:row>
                    <xdr:rowOff>0</xdr:rowOff>
                  </from>
                  <to>
                    <xdr:col>10</xdr:col>
                    <xdr:colOff>327660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08" name="Button 162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27</xdr:row>
                    <xdr:rowOff>0</xdr:rowOff>
                  </from>
                  <to>
                    <xdr:col>11</xdr:col>
                    <xdr:colOff>15240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09" name="Button 163">
              <controlPr defaultSize="0" print="0" autoFill="0" autoPict="0" macro="[0]!Row28DownBy50">
                <anchor moveWithCells="1" sizeWithCells="1">
                  <from>
                    <xdr:col>10</xdr:col>
                    <xdr:colOff>327660</xdr:colOff>
                    <xdr:row>27</xdr:row>
                    <xdr:rowOff>0</xdr:rowOff>
                  </from>
                  <to>
                    <xdr:col>11</xdr:col>
                    <xdr:colOff>15240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10" name="Button 164">
              <controlPr defaultSize="0" print="0" autoFill="0" autoPict="0" macro="[0]!Row28BumpBy500">
                <anchor moveWithCells="1" sizeWithCells="1">
                  <from>
                    <xdr:col>11</xdr:col>
                    <xdr:colOff>22860</xdr:colOff>
                    <xdr:row>27</xdr:row>
                    <xdr:rowOff>0</xdr:rowOff>
                  </from>
                  <to>
                    <xdr:col>11</xdr:col>
                    <xdr:colOff>327660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11" name="Button 165">
              <controlPr defaultSize="0" print="0" autoFill="0" autoPict="0" macro="[0]!Row28DownBy500">
                <anchor moveWithCells="1" sizeWithCells="1">
                  <from>
                    <xdr:col>11</xdr:col>
                    <xdr:colOff>335280</xdr:colOff>
                    <xdr:row>27</xdr:row>
                    <xdr:rowOff>0</xdr:rowOff>
                  </from>
                  <to>
                    <xdr:col>12</xdr:col>
                    <xdr:colOff>22860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12" name="Button 166">
              <controlPr defaultSize="0" print="0" autoFill="0" autoPict="0" macro="[0]!Row29DownBy1">
                <anchor moveWithCells="1" sizeWithCells="1">
                  <from>
                    <xdr:col>8</xdr:col>
                    <xdr:colOff>320040</xdr:colOff>
                    <xdr:row>27</xdr:row>
                    <xdr:rowOff>182880</xdr:rowOff>
                  </from>
                  <to>
                    <xdr:col>9</xdr:col>
                    <xdr:colOff>7620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13" name="Button 167">
              <controlPr defaultSize="0" print="0" autoFill="0" autoPict="0" macro="[0]!Row29BumpBy5">
                <anchor moveWithCells="1" sizeWithCells="1">
                  <from>
                    <xdr:col>9</xdr:col>
                    <xdr:colOff>7620</xdr:colOff>
                    <xdr:row>27</xdr:row>
                    <xdr:rowOff>182880</xdr:rowOff>
                  </from>
                  <to>
                    <xdr:col>9</xdr:col>
                    <xdr:colOff>320040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14" name="Button 168">
              <controlPr defaultSize="0" print="0" autoFill="0" autoPict="0" macro="[0]!Row29DownBy5">
                <anchor moveWithCells="1" sizeWithCells="1">
                  <from>
                    <xdr:col>9</xdr:col>
                    <xdr:colOff>320040</xdr:colOff>
                    <xdr:row>27</xdr:row>
                    <xdr:rowOff>182880</xdr:rowOff>
                  </from>
                  <to>
                    <xdr:col>10</xdr:col>
                    <xdr:colOff>7620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15" name="Button 169">
              <controlPr defaultSize="0" print="0" autoFill="0" autoPict="0" macro="[0]!Row29BumpBy1">
                <anchor moveWithCells="1" sizeWithCells="1">
                  <from>
                    <xdr:col>8</xdr:col>
                    <xdr:colOff>0</xdr:colOff>
                    <xdr:row>27</xdr:row>
                    <xdr:rowOff>182880</xdr:rowOff>
                  </from>
                  <to>
                    <xdr:col>8</xdr:col>
                    <xdr:colOff>312420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16" name="Button 170">
              <controlPr defaultSize="0" print="0" autoFill="0" autoPict="0" macro="[0]!Row29BumpBy50">
                <anchor moveWithCells="1" sizeWithCells="1">
                  <from>
                    <xdr:col>10</xdr:col>
                    <xdr:colOff>15240</xdr:colOff>
                    <xdr:row>27</xdr:row>
                    <xdr:rowOff>182880</xdr:rowOff>
                  </from>
                  <to>
                    <xdr:col>10</xdr:col>
                    <xdr:colOff>327660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17" name="Button 171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27</xdr:row>
                    <xdr:rowOff>182880</xdr:rowOff>
                  </from>
                  <to>
                    <xdr:col>11</xdr:col>
                    <xdr:colOff>15240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18" name="Button 172">
              <controlPr defaultSize="0" print="0" autoFill="0" autoPict="0" macro="[0]!Row29DownBy50">
                <anchor moveWithCells="1" sizeWithCells="1">
                  <from>
                    <xdr:col>10</xdr:col>
                    <xdr:colOff>327660</xdr:colOff>
                    <xdr:row>27</xdr:row>
                    <xdr:rowOff>182880</xdr:rowOff>
                  </from>
                  <to>
                    <xdr:col>11</xdr:col>
                    <xdr:colOff>15240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19" name="Button 173">
              <controlPr defaultSize="0" print="0" autoFill="0" autoPict="0" macro="[0]!Row29BumpBy500">
                <anchor moveWithCells="1" sizeWithCells="1">
                  <from>
                    <xdr:col>11</xdr:col>
                    <xdr:colOff>22860</xdr:colOff>
                    <xdr:row>27</xdr:row>
                    <xdr:rowOff>182880</xdr:rowOff>
                  </from>
                  <to>
                    <xdr:col>11</xdr:col>
                    <xdr:colOff>327660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20" name="Button 174">
              <controlPr defaultSize="0" print="0" autoFill="0" autoPict="0" macro="[0]!Row29DownBy500">
                <anchor moveWithCells="1" sizeWithCells="1">
                  <from>
                    <xdr:col>11</xdr:col>
                    <xdr:colOff>335280</xdr:colOff>
                    <xdr:row>27</xdr:row>
                    <xdr:rowOff>182880</xdr:rowOff>
                  </from>
                  <to>
                    <xdr:col>12</xdr:col>
                    <xdr:colOff>22860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21" name="Button 175">
              <controlPr defaultSize="0" print="0" autoFill="0" autoPict="0" macro="[0]!Row30DownBy1">
                <anchor moveWithCells="1" sizeWithCells="1">
                  <from>
                    <xdr:col>8</xdr:col>
                    <xdr:colOff>320040</xdr:colOff>
                    <xdr:row>28</xdr:row>
                    <xdr:rowOff>182880</xdr:rowOff>
                  </from>
                  <to>
                    <xdr:col>9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22" name="Button 176">
              <controlPr defaultSize="0" print="0" autoFill="0" autoPict="0" macro="[0]!Row30BumpBy5">
                <anchor moveWithCells="1" sizeWithCells="1">
                  <from>
                    <xdr:col>9</xdr:col>
                    <xdr:colOff>7620</xdr:colOff>
                    <xdr:row>29</xdr:row>
                    <xdr:rowOff>0</xdr:rowOff>
                  </from>
                  <to>
                    <xdr:col>9</xdr:col>
                    <xdr:colOff>320040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23" name="Button 177">
              <controlPr defaultSize="0" print="0" autoFill="0" autoPict="0" macro="[0]!Row30DownBy5">
                <anchor moveWithCells="1" sizeWithCells="1">
                  <from>
                    <xdr:col>9</xdr:col>
                    <xdr:colOff>320040</xdr:colOff>
                    <xdr:row>29</xdr:row>
                    <xdr:rowOff>0</xdr:rowOff>
                  </from>
                  <to>
                    <xdr:col>10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4" name="Button 178">
              <controlPr defaultSize="0" print="0" autoFill="0" autoPict="0" macro="[0]!Row30BumpBy1">
                <anchor moveWithCells="1" siz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8</xdr:col>
                    <xdr:colOff>312420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25" name="Button 179">
              <controlPr defaultSize="0" print="0" autoFill="0" autoPict="0" macro="[0]!Row30BumpBy50">
                <anchor moveWithCells="1" sizeWithCells="1">
                  <from>
                    <xdr:col>10</xdr:col>
                    <xdr:colOff>15240</xdr:colOff>
                    <xdr:row>29</xdr:row>
                    <xdr:rowOff>0</xdr:rowOff>
                  </from>
                  <to>
                    <xdr:col>10</xdr:col>
                    <xdr:colOff>327660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26" name="Button 180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29</xdr:row>
                    <xdr:rowOff>0</xdr:rowOff>
                  </from>
                  <to>
                    <xdr:col>11</xdr:col>
                    <xdr:colOff>15240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27" name="Button 181">
              <controlPr defaultSize="0" print="0" autoFill="0" autoPict="0" macro="[0]!Row30DownBy50">
                <anchor moveWithCells="1" sizeWithCells="1">
                  <from>
                    <xdr:col>10</xdr:col>
                    <xdr:colOff>327660</xdr:colOff>
                    <xdr:row>29</xdr:row>
                    <xdr:rowOff>0</xdr:rowOff>
                  </from>
                  <to>
                    <xdr:col>11</xdr:col>
                    <xdr:colOff>15240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28" name="Button 182">
              <controlPr defaultSize="0" print="0" autoFill="0" autoPict="0" macro="[0]!Row30BumpBy500">
                <anchor moveWithCells="1" sizeWithCells="1">
                  <from>
                    <xdr:col>11</xdr:col>
                    <xdr:colOff>22860</xdr:colOff>
                    <xdr:row>29</xdr:row>
                    <xdr:rowOff>0</xdr:rowOff>
                  </from>
                  <to>
                    <xdr:col>11</xdr:col>
                    <xdr:colOff>327660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29" name="Button 183">
              <controlPr defaultSize="0" print="0" autoFill="0" autoPict="0" macro="[0]!Row30DownBy500">
                <anchor moveWithCells="1" sizeWithCells="1">
                  <from>
                    <xdr:col>11</xdr:col>
                    <xdr:colOff>335280</xdr:colOff>
                    <xdr:row>29</xdr:row>
                    <xdr:rowOff>0</xdr:rowOff>
                  </from>
                  <to>
                    <xdr:col>12</xdr:col>
                    <xdr:colOff>22860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30" name="Button 184">
              <controlPr defaultSize="0" print="0" autoFill="0" autoPict="0" macro="[0]!Row31DownBy1">
                <anchor moveWithCells="1" sizeWithCells="1">
                  <from>
                    <xdr:col>8</xdr:col>
                    <xdr:colOff>320040</xdr:colOff>
                    <xdr:row>30</xdr:row>
                    <xdr:rowOff>0</xdr:rowOff>
                  </from>
                  <to>
                    <xdr:col>9</xdr:col>
                    <xdr:colOff>7620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31" name="Button 185">
              <controlPr defaultSize="0" print="0" autoFill="0" autoPict="0" macro="[0]!Row31BumpBy5">
                <anchor moveWithCells="1" sizeWithCells="1">
                  <from>
                    <xdr:col>9</xdr:col>
                    <xdr:colOff>7620</xdr:colOff>
                    <xdr:row>30</xdr:row>
                    <xdr:rowOff>0</xdr:rowOff>
                  </from>
                  <to>
                    <xdr:col>9</xdr:col>
                    <xdr:colOff>320040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32" name="Button 186">
              <controlPr defaultSize="0" print="0" autoFill="0" autoPict="0" macro="[0]!Row31DownBy5">
                <anchor moveWithCells="1" sizeWithCells="1">
                  <from>
                    <xdr:col>9</xdr:col>
                    <xdr:colOff>320040</xdr:colOff>
                    <xdr:row>30</xdr:row>
                    <xdr:rowOff>0</xdr:rowOff>
                  </from>
                  <to>
                    <xdr:col>10</xdr:col>
                    <xdr:colOff>7620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33" name="Button 187">
              <controlPr defaultSize="0" print="0" autoFill="0" autoPict="0" macro="[0]!Row31BumpBy1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8</xdr:col>
                    <xdr:colOff>312420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34" name="Button 188">
              <controlPr defaultSize="0" print="0" autoFill="0" autoPict="0" macro="[0]!Row31BumpBy50">
                <anchor moveWithCells="1" sizeWithCells="1">
                  <from>
                    <xdr:col>10</xdr:col>
                    <xdr:colOff>15240</xdr:colOff>
                    <xdr:row>30</xdr:row>
                    <xdr:rowOff>0</xdr:rowOff>
                  </from>
                  <to>
                    <xdr:col>10</xdr:col>
                    <xdr:colOff>327660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35" name="Button 189">
              <controlPr defaultSize="0" print="0" autoFill="0" autoPict="0" macro="[0]!DownBy50">
                <anchor moveWithCells="1" sizeWithCells="1">
                  <from>
                    <xdr:col>10</xdr:col>
                    <xdr:colOff>327660</xdr:colOff>
                    <xdr:row>30</xdr:row>
                    <xdr:rowOff>0</xdr:rowOff>
                  </from>
                  <to>
                    <xdr:col>11</xdr:col>
                    <xdr:colOff>15240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36" name="Button 190">
              <controlPr defaultSize="0" print="0" autoFill="0" autoPict="0" macro="[0]!Row31DownBy50">
                <anchor moveWithCells="1" sizeWithCells="1">
                  <from>
                    <xdr:col>10</xdr:col>
                    <xdr:colOff>327660</xdr:colOff>
                    <xdr:row>30</xdr:row>
                    <xdr:rowOff>0</xdr:rowOff>
                  </from>
                  <to>
                    <xdr:col>11</xdr:col>
                    <xdr:colOff>15240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37" name="Button 191">
              <controlPr defaultSize="0" print="0" autoFill="0" autoPict="0" macro="[0]!Row31BumpBy500">
                <anchor moveWithCells="1" sizeWithCells="1">
                  <from>
                    <xdr:col>11</xdr:col>
                    <xdr:colOff>22860</xdr:colOff>
                    <xdr:row>30</xdr:row>
                    <xdr:rowOff>0</xdr:rowOff>
                  </from>
                  <to>
                    <xdr:col>11</xdr:col>
                    <xdr:colOff>327660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38" name="Button 192">
              <controlPr defaultSize="0" print="0" autoFill="0" autoPict="0" macro="[0]!Row31DownBy500">
                <anchor moveWithCells="1" sizeWithCells="1">
                  <from>
                    <xdr:col>11</xdr:col>
                    <xdr:colOff>335280</xdr:colOff>
                    <xdr:row>30</xdr:row>
                    <xdr:rowOff>0</xdr:rowOff>
                  </from>
                  <to>
                    <xdr:col>12</xdr:col>
                    <xdr:colOff>22860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2"/>
  <sheetViews>
    <sheetView zoomScaleNormal="100" workbookViewId="0">
      <selection activeCell="B1" sqref="B1"/>
    </sheetView>
  </sheetViews>
  <sheetFormatPr defaultColWidth="9.140625" defaultRowHeight="14.45"/>
  <cols>
    <col min="1" max="1" width="25.28515625" style="2" customWidth="1"/>
    <col min="2" max="2" width="22.85546875" style="2" customWidth="1"/>
    <col min="3" max="3" width="17.140625" style="2" customWidth="1"/>
    <col min="4" max="4" width="16.42578125" style="2" customWidth="1"/>
    <col min="5" max="5" width="17.7109375" style="2" customWidth="1"/>
    <col min="6" max="6" width="18" style="2" customWidth="1"/>
    <col min="7" max="7" width="19.28515625" style="2" customWidth="1"/>
    <col min="8" max="8" width="16.7109375" style="2" customWidth="1"/>
    <col min="9" max="16384" width="9.140625" style="2"/>
  </cols>
  <sheetData>
    <row r="1" spans="1:7" ht="31.15">
      <c r="A1" s="144" t="s">
        <v>42</v>
      </c>
    </row>
    <row r="3" spans="1:7" ht="23.45">
      <c r="A3" s="145" t="s">
        <v>43</v>
      </c>
      <c r="B3" s="42" t="s">
        <v>44</v>
      </c>
      <c r="C3" s="53">
        <v>2023</v>
      </c>
      <c r="E3" s="146" t="s">
        <v>45</v>
      </c>
      <c r="F3" s="4">
        <v>25000</v>
      </c>
    </row>
    <row r="4" spans="1:7">
      <c r="B4" s="42" t="s">
        <v>46</v>
      </c>
      <c r="C4" s="53">
        <v>1</v>
      </c>
    </row>
    <row r="6" spans="1:7" ht="23.45">
      <c r="A6" s="145" t="s">
        <v>47</v>
      </c>
      <c r="C6" s="109" t="s">
        <v>48</v>
      </c>
      <c r="D6" s="109" t="s">
        <v>49</v>
      </c>
      <c r="E6" s="109" t="s">
        <v>50</v>
      </c>
      <c r="F6" s="109" t="s">
        <v>51</v>
      </c>
      <c r="G6" s="109" t="s">
        <v>52</v>
      </c>
    </row>
    <row r="7" spans="1:7">
      <c r="A7" s="117" t="s">
        <v>53</v>
      </c>
      <c r="B7" s="117" t="s">
        <v>54</v>
      </c>
      <c r="C7" s="113" t="s">
        <v>55</v>
      </c>
      <c r="D7" s="113" t="s">
        <v>55</v>
      </c>
      <c r="E7" s="113" t="s">
        <v>55</v>
      </c>
      <c r="F7" s="113" t="s">
        <v>55</v>
      </c>
      <c r="G7" s="113" t="s">
        <v>56</v>
      </c>
    </row>
    <row r="8" spans="1:7">
      <c r="A8" s="61" t="s">
        <v>57</v>
      </c>
      <c r="B8" s="4">
        <v>150000</v>
      </c>
      <c r="C8" s="48">
        <v>0.33333333329999998</v>
      </c>
      <c r="D8" s="48">
        <v>0.66666666600000002</v>
      </c>
      <c r="E8" s="147">
        <v>1</v>
      </c>
      <c r="F8" s="48">
        <v>1.05</v>
      </c>
      <c r="G8" s="48">
        <v>1.05</v>
      </c>
    </row>
    <row r="9" spans="1:7">
      <c r="A9" s="61"/>
      <c r="B9" s="4"/>
      <c r="C9" s="48"/>
      <c r="D9" s="48"/>
      <c r="E9" s="147">
        <f>E8</f>
        <v>1</v>
      </c>
      <c r="F9" s="48">
        <f>F8</f>
        <v>1.05</v>
      </c>
      <c r="G9" s="48">
        <f t="shared" ref="G9:G11" si="0">G8</f>
        <v>1.05</v>
      </c>
    </row>
    <row r="10" spans="1:7">
      <c r="A10" s="61"/>
      <c r="B10" s="4"/>
      <c r="C10" s="48"/>
      <c r="D10" s="48"/>
      <c r="E10" s="147">
        <f t="shared" ref="E10:G12" si="1">E9</f>
        <v>1</v>
      </c>
      <c r="F10" s="48">
        <f t="shared" ref="F10:F11" si="2">F9</f>
        <v>1.05</v>
      </c>
      <c r="G10" s="48">
        <f t="shared" si="0"/>
        <v>1.05</v>
      </c>
    </row>
    <row r="11" spans="1:7">
      <c r="A11" s="61"/>
      <c r="B11" s="4"/>
      <c r="C11" s="48"/>
      <c r="D11" s="48"/>
      <c r="E11" s="147">
        <f t="shared" si="1"/>
        <v>1</v>
      </c>
      <c r="F11" s="48">
        <f t="shared" si="2"/>
        <v>1.05</v>
      </c>
      <c r="G11" s="48">
        <f t="shared" si="0"/>
        <v>1.05</v>
      </c>
    </row>
    <row r="12" spans="1:7" ht="15" thickBot="1">
      <c r="A12" s="61"/>
      <c r="B12" s="4"/>
      <c r="C12" s="48"/>
      <c r="D12" s="48"/>
      <c r="E12" s="147">
        <f t="shared" si="1"/>
        <v>1</v>
      </c>
      <c r="F12" s="48">
        <f t="shared" si="1"/>
        <v>1.05</v>
      </c>
      <c r="G12" s="48">
        <f t="shared" si="1"/>
        <v>1.05</v>
      </c>
    </row>
    <row r="13" spans="1:7" ht="15" thickBot="1">
      <c r="B13" s="148" t="s">
        <v>58</v>
      </c>
      <c r="C13" s="40">
        <f>SUMPRODUCT(B8:B12,C8:C12)</f>
        <v>49999.999994999998</v>
      </c>
      <c r="D13" s="40">
        <f>SUMPRODUCT(B8:B12,D8:D12)</f>
        <v>99999.99990000001</v>
      </c>
      <c r="E13" s="40">
        <f>SUMPRODUCT(B8:B12,E8:E12)</f>
        <v>150000</v>
      </c>
      <c r="F13" s="40">
        <f>SUMPRODUCT(B8:B12,F8:F12)</f>
        <v>157500</v>
      </c>
      <c r="G13" s="40">
        <f>SUMPRODUCT(B8:B12,G8:G12,G8:G12)</f>
        <v>165375</v>
      </c>
    </row>
    <row r="15" spans="1:7">
      <c r="C15" s="109" t="s">
        <v>48</v>
      </c>
      <c r="D15" s="109" t="s">
        <v>49</v>
      </c>
      <c r="E15" s="109" t="s">
        <v>50</v>
      </c>
      <c r="F15" s="109" t="s">
        <v>51</v>
      </c>
      <c r="G15" s="109" t="s">
        <v>52</v>
      </c>
    </row>
    <row r="16" spans="1:7" ht="23.45">
      <c r="A16" s="145" t="s">
        <v>59</v>
      </c>
      <c r="B16" s="42" t="s">
        <v>60</v>
      </c>
      <c r="C16" s="48">
        <v>0.02</v>
      </c>
      <c r="D16" s="48">
        <f>C16+2%</f>
        <v>0.04</v>
      </c>
      <c r="E16" s="48">
        <f t="shared" ref="E16:G16" si="3">D16+2%</f>
        <v>0.06</v>
      </c>
      <c r="F16" s="48">
        <f t="shared" si="3"/>
        <v>0.08</v>
      </c>
      <c r="G16" s="48">
        <f t="shared" si="3"/>
        <v>0.1</v>
      </c>
    </row>
    <row r="17" spans="1:7" ht="15.6">
      <c r="A17" s="149" t="s">
        <v>61</v>
      </c>
      <c r="B17" s="142" t="s">
        <v>62</v>
      </c>
    </row>
    <row r="18" spans="1:7" ht="15" thickBot="1">
      <c r="C18" s="109" t="s">
        <v>48</v>
      </c>
      <c r="D18" s="109" t="s">
        <v>49</v>
      </c>
      <c r="E18" s="109" t="s">
        <v>50</v>
      </c>
      <c r="F18" s="109" t="s">
        <v>51</v>
      </c>
      <c r="G18" s="109" t="s">
        <v>52</v>
      </c>
    </row>
    <row r="19" spans="1:7" ht="24" thickBot="1">
      <c r="B19" s="151" t="s">
        <v>63</v>
      </c>
      <c r="C19" s="150">
        <f>SUM('Year 1'!C128:N128)</f>
        <v>297695.26250000001</v>
      </c>
      <c r="D19" s="150">
        <f>SUM('Year 2'!C131:N131)</f>
        <v>4798.8</v>
      </c>
      <c r="E19" s="150">
        <f>SUM('Year 3'!C131:N131)</f>
        <v>0</v>
      </c>
      <c r="F19" s="150">
        <f>E19*'Reverse Engineering Valuation'!B12</f>
        <v>0</v>
      </c>
      <c r="G19" s="150">
        <f>F19*'Reverse Engineering Valuation'!B12</f>
        <v>0</v>
      </c>
    </row>
    <row r="20" spans="1:7" ht="24" thickBot="1">
      <c r="B20" s="151" t="s">
        <v>64</v>
      </c>
      <c r="C20" s="150">
        <f>SUM('Year 1'!C130:N130)</f>
        <v>3437.9092499999997</v>
      </c>
      <c r="D20" s="150">
        <f>SUM('Year 2'!C133:N133)</f>
        <v>191.952</v>
      </c>
      <c r="E20" s="150">
        <f>SUM('Year 3'!C133:N133)</f>
        <v>0</v>
      </c>
      <c r="F20" s="150">
        <f>F16*F19</f>
        <v>0</v>
      </c>
      <c r="G20" s="150">
        <f>G16*G19</f>
        <v>0</v>
      </c>
    </row>
    <row r="21" spans="1:7" ht="24" thickBot="1">
      <c r="B21" s="151" t="s">
        <v>65</v>
      </c>
      <c r="C21" s="150">
        <f ca="1">SUM('Year 1'!C136:N136)</f>
        <v>201483.14454857144</v>
      </c>
      <c r="D21" s="150">
        <f ca="1">SUM('Year 2'!C139:N139)</f>
        <v>119397.47317502432</v>
      </c>
      <c r="E21" s="150">
        <f ca="1">SUM('Year 3'!C139:N139)</f>
        <v>155830.90379008747</v>
      </c>
      <c r="F21" s="150" t="str">
        <f>IF(F22&gt;0,(F19+F20)/F22,"")</f>
        <v/>
      </c>
      <c r="G21" s="150" t="str">
        <f>IF(G22&gt;0,(G19+G20)/G22,"")</f>
        <v/>
      </c>
    </row>
    <row r="22" spans="1:7" ht="24" thickBot="1">
      <c r="B22" s="151" t="s">
        <v>66</v>
      </c>
      <c r="C22" s="152">
        <f ca="1">IF(C21=0,"NA",(C19+C20)/C21)</f>
        <v>1.4945824496867828</v>
      </c>
      <c r="D22" s="152">
        <f ca="1">IF(D21=0,"NA",(D19+D20)/D21)</f>
        <v>4.1799477554136134E-2</v>
      </c>
      <c r="E22" s="152">
        <f t="shared" ref="E22" ca="1" si="4">IF(E21=0,"NA",(E19+E20)/E21)</f>
        <v>0</v>
      </c>
      <c r="F22" s="62"/>
      <c r="G22" s="62"/>
    </row>
    <row r="23" spans="1:7" ht="24" thickBot="1">
      <c r="B23" s="141"/>
      <c r="C23" s="1"/>
    </row>
    <row r="24" spans="1:7" ht="24" thickBot="1">
      <c r="A24" s="153" t="s">
        <v>67</v>
      </c>
      <c r="B24" s="154" t="s">
        <v>68</v>
      </c>
      <c r="C24" s="155">
        <f ca="1">IF(MINA('Year 1'!C133:N133)&lt;0,   INDEX('Year 1'!C132:N132,MATCH(TRUE,INDEX('Year 1'!C133:N133&lt;0,0),)),"Always Positive")</f>
        <v>44958</v>
      </c>
      <c r="D24" s="155" t="str">
        <f ca="1">IF(MINA('Year 2'!C136:N136)&lt;0,   INDEX('Year 2'!C135:N135,MATCH(TRUE,INDEX('Year 2'!C136:N136&lt;0,0),)),"-NA-")</f>
        <v>-NA-</v>
      </c>
      <c r="E24" s="155">
        <f ca="1">IF(MINA('Year 3'!C136:N136)&lt;0,   INDEX('Year 3'!C135:N135,MATCH(TRUE,INDEX('Year 3'!C136:N136&lt;0,0),)),"-NA-")</f>
        <v>45658</v>
      </c>
      <c r="F24" s="156"/>
      <c r="G24" s="156"/>
    </row>
    <row r="25" spans="1:7" ht="24" thickBot="1">
      <c r="A25" s="149" t="s">
        <v>69</v>
      </c>
      <c r="B25" s="154" t="s">
        <v>70</v>
      </c>
      <c r="C25" s="150" cm="1">
        <f t="array" aca="1" ref="C25" ca="1">IF(MINA('Year 1'!C133:N133)&lt;0,INDEX('Year 1'!C133:N133,MATCH(TRUE,INDEX('Year 1'!C133:N133&lt;0,0),)),"Always Positive")</f>
        <v>-26594.130112261904</v>
      </c>
      <c r="D25" s="157" t="str">
        <f ca="1">IF(MINA('Year 2'!C136:N136)&lt;0,INDEX('Year 2'!C136:N136,MATCH(TRUE,INDEX('Year 2'!C136:N136&lt;0,0),)),"Always Positive")</f>
        <v>Always Positive</v>
      </c>
      <c r="E25" s="157">
        <f ca="1">IF(MINA('Year 3'!C136:N136)&lt;0,INDEX('Year 3'!C136:N136,MATCH(TRUE,INDEX('Year 3'!C136:N136&lt;0,0),)),"Always Positive")</f>
        <v>-10002.32512276972</v>
      </c>
      <c r="F25" s="158"/>
      <c r="G25" s="158"/>
    </row>
    <row r="26" spans="1:7" ht="24" thickBot="1">
      <c r="A26" s="143" t="s">
        <v>62</v>
      </c>
      <c r="B26" s="154" t="s">
        <v>71</v>
      </c>
      <c r="C26" s="150">
        <f ca="1">MINA('Year 1'!C133:N133)</f>
        <v>-26594.130112261904</v>
      </c>
      <c r="D26" s="157">
        <f ca="1">MINA('Year 2'!C136:N136)</f>
        <v>2983.5835264042344</v>
      </c>
      <c r="E26" s="157">
        <f ca="1">MINA('Year 3'!C136:N136)</f>
        <v>-152847.32026368324</v>
      </c>
      <c r="F26" s="156"/>
      <c r="G26" s="156"/>
    </row>
    <row r="27" spans="1:7" ht="15" thickBot="1"/>
    <row r="28" spans="1:7" ht="24" thickBot="1">
      <c r="A28" s="145" t="s">
        <v>72</v>
      </c>
      <c r="B28" s="159" t="s">
        <v>58</v>
      </c>
      <c r="C28" s="71">
        <f>SUM(C29:C32)</f>
        <v>2</v>
      </c>
      <c r="D28" s="71">
        <f t="shared" ref="D28:E28" si="5">SUM(D29:D32)</f>
        <v>1</v>
      </c>
      <c r="E28" s="71">
        <f t="shared" si="5"/>
        <v>1</v>
      </c>
      <c r="F28" s="71" t="str">
        <f>IF(SUM(F29:F32)&gt;0,SUM(F29:F32),"")</f>
        <v/>
      </c>
      <c r="G28" s="71" t="str">
        <f>IF(SUM(G29:G32)&gt;0,SUM(G29:G32),"")</f>
        <v/>
      </c>
    </row>
    <row r="29" spans="1:7">
      <c r="B29" s="42" t="s">
        <v>73</v>
      </c>
      <c r="C29" s="113">
        <f>MAXA('Year 1'!C283:N283)</f>
        <v>1</v>
      </c>
      <c r="D29" s="113">
        <f>MAXA('Year 2'!C287:N287)</f>
        <v>1</v>
      </c>
      <c r="E29" s="113">
        <f>MAXA('Year 3'!C286:N286)</f>
        <v>1</v>
      </c>
      <c r="F29" s="65"/>
      <c r="G29" s="65"/>
    </row>
    <row r="30" spans="1:7">
      <c r="B30" s="42" t="s">
        <v>74</v>
      </c>
      <c r="C30" s="113">
        <f>MAXA('Year 1'!C284:N284)</f>
        <v>0</v>
      </c>
      <c r="D30" s="113">
        <f>MAXA('Year 2'!C288:N288)</f>
        <v>0</v>
      </c>
      <c r="E30" s="113">
        <f>MAXA('Year 3'!C287:N287)</f>
        <v>0</v>
      </c>
      <c r="F30" s="66"/>
      <c r="G30" s="66"/>
    </row>
    <row r="31" spans="1:7">
      <c r="B31" s="42" t="s">
        <v>75</v>
      </c>
      <c r="C31" s="113">
        <f>MAXA('Year 1'!C285:N285)</f>
        <v>0</v>
      </c>
      <c r="D31" s="113">
        <f>MAXA('Year 2'!C289:N289)</f>
        <v>0</v>
      </c>
      <c r="E31" s="113">
        <f>MAXA('Year 3'!C288:N288)</f>
        <v>0</v>
      </c>
      <c r="F31" s="66"/>
      <c r="G31" s="66"/>
    </row>
    <row r="32" spans="1:7" ht="15" thickBot="1">
      <c r="B32" s="42" t="s">
        <v>76</v>
      </c>
      <c r="C32" s="113">
        <f>MAXA('Year 1'!C286:N286)</f>
        <v>1</v>
      </c>
      <c r="D32" s="113">
        <f>MAXA('Year 2'!C290:N290)</f>
        <v>0</v>
      </c>
      <c r="E32" s="113">
        <f>MAXA('Year 3'!C289:N289)</f>
        <v>0</v>
      </c>
      <c r="F32" s="67"/>
      <c r="G32" s="67"/>
    </row>
  </sheetData>
  <sheetProtection formatCells="0" insertRows="0"/>
  <dataValidations count="6">
    <dataValidation type="list" allowBlank="1" showInputMessage="1" showErrorMessage="1" promptTitle="It is a philosophical approach" prompt="On principal, a percentage of ALL income, regardless of source, should be part of the profits set asside (in a seperate bank account) for distubuion to the members.  However, sometimes it might make sense to exclude it an as such you have that option." sqref="B17" xr:uid="{00000000-0002-0000-0100-000000000000}">
      <formula1>"Yes,No"</formula1>
    </dataValidation>
    <dataValidation type="list" allowBlank="1" showInputMessage="1" showErrorMessage="1" promptTitle="To Exclude or Not, that is the ?" prompt="So, depreciation is an expense but it is not actually CASH leaving your pocket.  It is the steady decline in the value of some property that you purchased that you will/may eventually have to replace. _x000a__x000a_It is a tax deduction at the end of the year." sqref="A26" xr:uid="{00000000-0002-0000-0100-000001000000}">
      <formula1>"Yes,No"</formula1>
    </dataValidation>
    <dataValidation type="whole" allowBlank="1" showInputMessage="1" showErrorMessage="1" errorTitle="Must be between 1-12" error="Must be between 1-12_x000a_1= January_x000a_2 = February_x000a_..._x000a_12 = December" promptTitle="Needs to be between 1-12" prompt="1= January_x000a_2 = February_x000a_..._x000a_12 = December" sqref="C4" xr:uid="{00000000-0002-0000-0100-000002000000}">
      <formula1>1</formula1>
      <formula2>12</formula2>
    </dataValidation>
    <dataValidation allowBlank="1" showInputMessage="1" showErrorMessage="1" promptTitle="Commitment through Compensation" prompt="_x000a_Investors don't want you to get rich off of the money they put in but rather by growth of company. _x000a__x000a_For Early Stage companies consider taking 33% (or less) in year one of what it would makes sense for you to make in year three, if you can afford it. _x000a_" sqref="C8" xr:uid="{00000000-0002-0000-0100-000003000000}"/>
    <dataValidation allowBlank="1" showInputMessage="1" showErrorMessage="1" promptTitle="Commitment through Compensation" prompt="_x000a_Investors don't want you to get rich off of the money they put in but rather by growth of company. _x000a__x000a_For Early Stage companies consider taking 67% (or less) in year two of what it would makes sense for you to make in year three, if you can afford it. _x000a_" sqref="D8" xr:uid="{00000000-0002-0000-0100-000004000000}"/>
    <dataValidation allowBlank="1" showInputMessage="1" showErrorMessage="1" promptTitle="The Principle of Profit First" prompt="Is based upon a book by Mike Michalowicz https://mikemichalowicz.com/profit-first/. _x000a__x000a_The principle is you should take a % of ALL revenue FIRST and stick in into a separate bank account for distributions to equity owners.  " sqref="C16" xr:uid="{00000000-0002-0000-0100-000005000000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311"/>
  <sheetViews>
    <sheetView tabSelected="1" zoomScaleNormal="100" workbookViewId="0">
      <selection activeCell="G3" sqref="G3"/>
    </sheetView>
  </sheetViews>
  <sheetFormatPr defaultColWidth="9.140625" defaultRowHeight="14.45"/>
  <cols>
    <col min="1" max="1" width="37.7109375" style="2" customWidth="1"/>
    <col min="2" max="2" width="26" style="2" customWidth="1"/>
    <col min="3" max="36" width="15.7109375" style="2" customWidth="1"/>
    <col min="37" max="37" width="16.5703125" style="2" bestFit="1" customWidth="1"/>
    <col min="38" max="38" width="16.28515625" style="2" customWidth="1"/>
    <col min="39" max="39" width="16.5703125" style="2" bestFit="1" customWidth="1"/>
    <col min="40" max="47" width="9.140625" style="2"/>
    <col min="48" max="48" width="13" style="2" customWidth="1"/>
    <col min="49" max="16384" width="9.140625" style="2"/>
  </cols>
  <sheetData>
    <row r="1" spans="1:48" ht="33.6">
      <c r="A1" s="83" t="s">
        <v>77</v>
      </c>
      <c r="P1" s="137"/>
      <c r="Q1" s="1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</row>
    <row r="3" spans="1:48" ht="23.45">
      <c r="A3" s="84" t="s">
        <v>78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AV3" s="1"/>
    </row>
    <row r="4" spans="1:48">
      <c r="A4" s="86" t="str">
        <f>IF('Reverse Engineering Valuation'!A41 = "","    ---    ",'Reverse Engineering Valuation'!A41)</f>
        <v>Kilter Tilter -Therapy Version</v>
      </c>
      <c r="B4" s="87" t="str">
        <f>IF(ROUND(B10,1)&gt;0,CONCATENATE("Under by ",ROUND(B10,1)), IF(ROUND(B10,1)&lt;0, CONCATENATE("OVER BY ",ROUND(B10,1)), "You Matched"))</f>
        <v>Under by 5</v>
      </c>
      <c r="C4" s="85">
        <f t="shared" ref="C4:N4" si="0">C127</f>
        <v>44927</v>
      </c>
      <c r="D4" s="85">
        <f t="shared" si="0"/>
        <v>44958</v>
      </c>
      <c r="E4" s="85">
        <f t="shared" si="0"/>
        <v>44986</v>
      </c>
      <c r="F4" s="85">
        <f t="shared" si="0"/>
        <v>45017</v>
      </c>
      <c r="G4" s="85">
        <f t="shared" si="0"/>
        <v>45047</v>
      </c>
      <c r="H4" s="85">
        <f t="shared" si="0"/>
        <v>45078</v>
      </c>
      <c r="I4" s="85">
        <f t="shared" si="0"/>
        <v>45108</v>
      </c>
      <c r="J4" s="85">
        <f t="shared" si="0"/>
        <v>45139</v>
      </c>
      <c r="K4" s="85">
        <f t="shared" si="0"/>
        <v>45170</v>
      </c>
      <c r="L4" s="85">
        <f t="shared" si="0"/>
        <v>45200</v>
      </c>
      <c r="M4" s="85">
        <f t="shared" si="0"/>
        <v>45231</v>
      </c>
      <c r="N4" s="85">
        <f t="shared" si="0"/>
        <v>45261</v>
      </c>
      <c r="O4" s="139" t="str">
        <f t="shared" ref="O4:AJ4" si="1" xml:space="preserve">  CONCATENATE("Ext +", COLUMN()-14)</f>
        <v>Ext +1</v>
      </c>
      <c r="P4" s="139" t="str">
        <f t="shared" si="1"/>
        <v>Ext +2</v>
      </c>
      <c r="Q4" s="139" t="str">
        <f t="shared" si="1"/>
        <v>Ext +3</v>
      </c>
      <c r="R4" s="139" t="str">
        <f t="shared" si="1"/>
        <v>Ext +4</v>
      </c>
      <c r="S4" s="139" t="str">
        <f t="shared" si="1"/>
        <v>Ext +5</v>
      </c>
      <c r="T4" s="139" t="str">
        <f t="shared" si="1"/>
        <v>Ext +6</v>
      </c>
      <c r="U4" s="139" t="str">
        <f t="shared" si="1"/>
        <v>Ext +7</v>
      </c>
      <c r="V4" s="139" t="str">
        <f t="shared" si="1"/>
        <v>Ext +8</v>
      </c>
      <c r="W4" s="139" t="str">
        <f t="shared" si="1"/>
        <v>Ext +9</v>
      </c>
      <c r="X4" s="139" t="str">
        <f t="shared" si="1"/>
        <v>Ext +10</v>
      </c>
      <c r="Y4" s="139" t="str">
        <f t="shared" si="1"/>
        <v>Ext +11</v>
      </c>
      <c r="Z4" s="139" t="str">
        <f t="shared" si="1"/>
        <v>Ext +12</v>
      </c>
      <c r="AA4" s="121" t="str">
        <f t="shared" si="1"/>
        <v>Ext +13</v>
      </c>
      <c r="AB4" s="121" t="str">
        <f t="shared" si="1"/>
        <v>Ext +14</v>
      </c>
      <c r="AC4" s="121" t="str">
        <f t="shared" si="1"/>
        <v>Ext +15</v>
      </c>
      <c r="AD4" s="121" t="str">
        <f t="shared" si="1"/>
        <v>Ext +16</v>
      </c>
      <c r="AE4" s="121" t="str">
        <f t="shared" si="1"/>
        <v>Ext +17</v>
      </c>
      <c r="AF4" s="121" t="str">
        <f t="shared" si="1"/>
        <v>Ext +18</v>
      </c>
      <c r="AG4" s="121" t="str">
        <f t="shared" si="1"/>
        <v>Ext +19</v>
      </c>
      <c r="AH4" s="121" t="str">
        <f t="shared" si="1"/>
        <v>Ext +20</v>
      </c>
      <c r="AI4" s="121" t="str">
        <f t="shared" si="1"/>
        <v>Ext +21</v>
      </c>
      <c r="AJ4" s="121" t="str">
        <f t="shared" si="1"/>
        <v>Ext +22</v>
      </c>
      <c r="AV4" s="1"/>
    </row>
    <row r="5" spans="1:48">
      <c r="A5" s="90" t="s">
        <v>79</v>
      </c>
      <c r="B5" s="50">
        <f>'Reverse Engineering Valuation'!B41</f>
        <v>3999</v>
      </c>
      <c r="C5" s="57"/>
      <c r="D5" s="57"/>
      <c r="E5" s="57">
        <v>1</v>
      </c>
      <c r="F5" s="57"/>
      <c r="G5" s="57"/>
      <c r="H5" s="57">
        <v>1</v>
      </c>
      <c r="I5" s="57"/>
      <c r="J5" s="57"/>
      <c r="K5" s="57"/>
      <c r="L5" s="57">
        <v>1</v>
      </c>
      <c r="M5" s="57">
        <v>1</v>
      </c>
      <c r="N5" s="57">
        <v>1</v>
      </c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1"/>
      <c r="AL5" s="1"/>
      <c r="AV5" s="1">
        <f>SUM(C5:AK5)*B5</f>
        <v>19995</v>
      </c>
    </row>
    <row r="6" spans="1:48">
      <c r="A6" s="90" t="s">
        <v>80</v>
      </c>
      <c r="B6" s="52">
        <v>0.2</v>
      </c>
      <c r="C6" s="50" t="str">
        <f>IF(C5*B6*B5,C5*B6*B5,"")</f>
        <v/>
      </c>
      <c r="D6" s="50" t="str">
        <f>IF(D5*B6*B5,D5*B6*B5,"")</f>
        <v/>
      </c>
      <c r="E6" s="50">
        <f>IF(E5*B6*B5,E5*B6*B5,"")</f>
        <v>799.80000000000007</v>
      </c>
      <c r="F6" s="50" t="str">
        <f>IF(F5*B6*B5,F5*B6*B5,"")</f>
        <v/>
      </c>
      <c r="G6" s="50" t="str">
        <f>IF(G5*B6*B5,G5*B6*B5,"")</f>
        <v/>
      </c>
      <c r="H6" s="50">
        <f>IF(H5*B6*B5,H5*B6*B5,"")</f>
        <v>799.80000000000007</v>
      </c>
      <c r="I6" s="50" t="str">
        <f>IF(I5*B6*B5,I5*B6*B5,"")</f>
        <v/>
      </c>
      <c r="J6" s="50" t="str">
        <f>IF(J5*B6*B5,J5*B6*B5,"")</f>
        <v/>
      </c>
      <c r="K6" s="50" t="str">
        <f>IF(K5*B6*B5,K5*B6*B5,"")</f>
        <v/>
      </c>
      <c r="L6" s="50">
        <f>IF(L5*B6*B5,L5*B6*B5,"")</f>
        <v>799.80000000000007</v>
      </c>
      <c r="M6" s="50">
        <f>IF(M5*B6*B5,M5*B6*B5,"")</f>
        <v>799.80000000000007</v>
      </c>
      <c r="N6" s="50">
        <f>IF(N5*B6*B5,N5*B6*B5,"")</f>
        <v>799.80000000000007</v>
      </c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1"/>
      <c r="AV6" s="1">
        <f>SUM(C6:AK6)</f>
        <v>3999.0000000000005</v>
      </c>
    </row>
    <row r="7" spans="1:48">
      <c r="A7" s="90" t="s">
        <v>81</v>
      </c>
      <c r="B7" s="53"/>
      <c r="C7" s="50" t="str">
        <f>IF(IF((COLUMN()-2-B7)&gt;0,INDEX(C5:Z5,1, (COLUMN()-2-B7)),0)&gt;=1,(B5* IF((COLUMN()-2-B7)&gt;0,INDEX(C5:Z5,1, (COLUMN()-2-B7)),0)*(1-B6))/(B8+1),"")</f>
        <v/>
      </c>
      <c r="D7" s="50" t="str">
        <f>IF(IF((COLUMN()-2-B7)&gt;0,INDEX(C5:Z5,1, (COLUMN()-2-B7)),0)&gt;=1,(B5* IF((COLUMN()-2-B7)&gt;0,INDEX(C5:Z5,1, (COLUMN()-2-B7)),0)*(1-B6))/(B8+1),"")</f>
        <v/>
      </c>
      <c r="E7" s="50">
        <f>IF(IF((COLUMN()-2-B7)&gt;0,INDEX(C5:Z5,1, (COLUMN()-2-B7)),0)&gt;=1,(B5* IF((COLUMN()-2-B7)&gt;0,INDEX(C5:Z5,1, (COLUMN()-2-B7)),0)*(1-B6))/(B8+1),"")</f>
        <v>799.80000000000007</v>
      </c>
      <c r="F7" s="50" t="str">
        <f>IF(IF((COLUMN()-2-B7)&gt;0,INDEX(C5:Z5,1, (COLUMN()-2-B7)),0)&gt;=1,(B5* IF((COLUMN()-2-B7)&gt;0,INDEX(C5:Z5,1, (COLUMN()-2-B7)),0)*(1-B6))/(B8+1),"")</f>
        <v/>
      </c>
      <c r="G7" s="50" t="str">
        <f>IF(IF((COLUMN()-2-B7)&gt;0,INDEX(C5:Z5,1, (COLUMN()-2-B7)),0)&gt;=1,(B5* IF((COLUMN()-2-B7)&gt;0,INDEX(C5:Z5,1, (COLUMN()-2-B7)),0)*(1-B6))/(B8+1),"")</f>
        <v/>
      </c>
      <c r="H7" s="50">
        <f>IF(IF((COLUMN()-2-B7)&gt;0,INDEX(C5:Z5,1, (COLUMN()-2-B7)),0)&gt;=1,(B5* IF((COLUMN()-2-B7)&gt;0,INDEX(C5:Z5,1, (COLUMN()-2-B7)),0)*(1-B6))/(B8+1),"")</f>
        <v>799.80000000000007</v>
      </c>
      <c r="I7" s="50" t="str">
        <f>IF(IF((COLUMN()-2-B7)&gt;0,INDEX(C5:Z5,1, (COLUMN()-2-B7)),0)&gt;=1,(B5* IF((COLUMN()-2-B7)&gt;0,INDEX(C5:Z5,1, (COLUMN()-2-B7)),0)*(1-B6))/(B8+1),"")</f>
        <v/>
      </c>
      <c r="J7" s="50" t="str">
        <f>IF(IF((COLUMN()-2-B7)&gt;0,INDEX(C5:Z5,1, (COLUMN()-2-B7)),0)&gt;=1,(B5* IF((COLUMN()-2-B7)&gt;0,INDEX(C5:Z5,1, (COLUMN()-2-B7)),0)*(1-B6))/(B8+1),"")</f>
        <v/>
      </c>
      <c r="K7" s="50" t="str">
        <f>IF(IF((COLUMN()-2-B7)&gt;0,INDEX(C5:Z5,1, (COLUMN()-2-B7)),0)&gt;=1,(B5* IF((COLUMN()-2-B7)&gt;0,INDEX(C5:Z5,1, (COLUMN()-2-B7)),0)*(1-B6))/(B8+1),"")</f>
        <v/>
      </c>
      <c r="L7" s="50">
        <f>IF(IF((COLUMN()-2-B7)&gt;0,INDEX(C5:Z5,1, (COLUMN()-2-B7)),0)&gt;=1,(B5* IF((COLUMN()-2-B7)&gt;0,INDEX(C5:Z5,1, (COLUMN()-2-B7)),0)*(1-B6))/(B8+1),"")</f>
        <v>799.80000000000007</v>
      </c>
      <c r="M7" s="50">
        <f>IF(IF((COLUMN()-2-B7)&gt;0,INDEX(C5:Z5,1, (COLUMN()-2-B7)),0)&gt;=1,(B5* IF((COLUMN()-2-B7)&gt;0,INDEX(C5:Z5,1, (COLUMN()-2-B7)),0)*(1-B6))/(B8+1),"")</f>
        <v>799.80000000000007</v>
      </c>
      <c r="N7" s="50">
        <f>IF(IF((COLUMN()-2-B7)&gt;0,INDEX(C5:Z5,1, (COLUMN()-2-B7)),0)&gt;=1,(B5* IF((COLUMN()-2-B7)&gt;0,INDEX(C5:Z5,1, (COLUMN()-2-B7)),0)*(1-B6))/(B8+1),"")</f>
        <v>799.80000000000007</v>
      </c>
      <c r="O7" s="55" t="str">
        <f>IF(IF((COLUMN()-2-B7)&gt;0,INDEX(C5:Z5,1, (COLUMN()-2-B7)),0)&gt;=1,(B5* IF((COLUMN()-2-B7)&gt;0,INDEX(C5:Z5,1, (COLUMN()-2-B7)),0)*(1-B6))/(B8+1),"")</f>
        <v/>
      </c>
      <c r="P7" s="55" t="str">
        <f>IF(IF((COLUMN()-2-B7)&gt;0,INDEX(C5:Z5,1, (COLUMN()-2-B7)),0)&gt;=1,(B5* IF((COLUMN()-2-B7)&gt;0,INDEX(C5:Z5,1, (COLUMN()-2-B7)),0)*(1-B6))/(B8+1),"")</f>
        <v/>
      </c>
      <c r="Q7" s="55" t="str">
        <f>IF(IF((COLUMN()-2-B7)&gt;0,INDEX(C5:Z5,1, (COLUMN()-2-B7)),0)&gt;=1,(B5* IF((COLUMN()-2-B7)&gt;0,INDEX(C5:Z5,1, (COLUMN()-2-B7)),0)*(1-B6))/(B8+1),"")</f>
        <v/>
      </c>
      <c r="R7" s="55" t="str">
        <f>IF(IF((COLUMN()-2-B7)&gt;0,INDEX(C5:Z5,1, (COLUMN()-2-B7)),0)&gt;=1,(B5* IF((COLUMN()-2-B7)&gt;0,INDEX(C5:Z5,1, (COLUMN()-2-B7)),0)*(1-B6))/(B8+1),"")</f>
        <v/>
      </c>
      <c r="S7" s="55" t="str">
        <f>IF(IF((COLUMN()-2-B7)&gt;0,INDEX(C5:Z5,1, (COLUMN()-2-B7)),0)&gt;=1,(B5* IF((COLUMN()-2-B7)&gt;0,INDEX(C5:Z5,1, (COLUMN()-2-B7)),0)*(1-B6))/(B8+1),"")</f>
        <v/>
      </c>
      <c r="T7" s="55" t="str">
        <f>IF(IF((COLUMN()-2-B7)&gt;0,INDEX(C5:Z5,1, (COLUMN()-2-B7)),0)&gt;=1,(B5* IF((COLUMN()-2-B7)&gt;0,INDEX(C5:Z5,1, (COLUMN()-2-B7)),0)*(1-B6))/(B8+1),"")</f>
        <v/>
      </c>
      <c r="U7" s="55" t="str">
        <f>IF(IF((COLUMN()-2-B7)&gt;0,INDEX(C5:Z5,1, (COLUMN()-2-B7)),0)&gt;=1,(B5* IF((COLUMN()-2-B7)&gt;0,INDEX(C5:Z5,1, (COLUMN()-2-B7)),0)*(1-B6))/(B8+1),"")</f>
        <v/>
      </c>
      <c r="V7" s="55" t="str">
        <f>IF(IF((COLUMN()-2-B7)&gt;0,INDEX(C5:Z5,1, (COLUMN()-2-B7)),0)&gt;=1,(B5* IF((COLUMN()-2-B7)&gt;0,INDEX(C5:Z5,1, (COLUMN()-2-B7)),0)*(1-B6))/(B8+1),"")</f>
        <v/>
      </c>
      <c r="W7" s="55" t="str">
        <f>IF(IF((COLUMN()-2-B7)&gt;0,INDEX(C5:Z5,1, (COLUMN()-2-B7)),0)&gt;=1,(B5* IF((COLUMN()-2-B7)&gt;0,INDEX(C5:Z5,1, (COLUMN()-2-B7)),0)*(1-B6))/(B8+1),"")</f>
        <v/>
      </c>
      <c r="X7" s="55" t="str">
        <f>IF(IF((COLUMN()-2-B7)&gt;0,INDEX(C5:Z5,1, (COLUMN()-2-B7)),0)&gt;=1,(B5* IF((COLUMN()-2-B7)&gt;0,INDEX(C5:Z5,1, (COLUMN()-2-B7)),0)*(1-B6))/(B8+1),"")</f>
        <v/>
      </c>
      <c r="Y7" s="55" t="str">
        <f>IF(IF((COLUMN()-2-B7)&gt;0,INDEX(C5:Z5,1, (COLUMN()-2-B7)),0)&gt;=1,(B5* IF((COLUMN()-2-B7)&gt;0,INDEX(C5:Z5,1, (COLUMN()-2-B7)),0)*(1-B6))/(B8+1),"")</f>
        <v/>
      </c>
      <c r="Z7" s="91" t="str">
        <f>IF(IF((COLUMN()-2-B7)&gt;0,INDEX(C5:Z5,1, (COLUMN()-2-B7)),0)&gt;=1,(B5* IF((COLUMN()-2-B7)&gt;0,INDEX(C5:Z5,1, (COLUMN()-2-B7)),0)*(1-B6))/(B8+1),"")</f>
        <v/>
      </c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1"/>
      <c r="AV7" s="1">
        <f>SUM(C7:AK7)</f>
        <v>3999.0000000000005</v>
      </c>
    </row>
    <row r="8" spans="1:48">
      <c r="A8" s="90" t="s">
        <v>82</v>
      </c>
      <c r="B8" s="53">
        <v>3</v>
      </c>
      <c r="C8" s="91"/>
      <c r="D8" s="50" t="str">
        <f>IF(SUM(D9),SUM(D9),"")</f>
        <v/>
      </c>
      <c r="E8" s="50" t="str">
        <f>IF(SUM(E9:E10),SUM(E9:E10),"")</f>
        <v/>
      </c>
      <c r="F8" s="50">
        <f>IF(SUM(F9:F11),SUM(F9:F11),"")</f>
        <v>799.80000000000007</v>
      </c>
      <c r="G8" s="50">
        <f>IF(SUM(G9:G12),SUM(G9:G12),"")</f>
        <v>799.80000000000007</v>
      </c>
      <c r="H8" s="50">
        <f>IF(SUM(H9:H13),SUM(H9:H13),"")</f>
        <v>799.80000000000007</v>
      </c>
      <c r="I8" s="50">
        <f>IF(SUM(I9:I14),SUM(I9:I14),"")</f>
        <v>799.80000000000007</v>
      </c>
      <c r="J8" s="50">
        <f>IF(SUM(J9:J15),SUM(J9:J15),"")</f>
        <v>799.80000000000007</v>
      </c>
      <c r="K8" s="50">
        <f>IF(SUM(K9:K16),SUM(K9:K16),"")</f>
        <v>799.80000000000007</v>
      </c>
      <c r="L8" s="50" t="str">
        <f>IF(SUM(L9:L17),SUM(L9:L17),"")</f>
        <v/>
      </c>
      <c r="M8" s="50">
        <f>IF(SUM(M9:M18),SUM(M9:M18),"")</f>
        <v>799.80000000000007</v>
      </c>
      <c r="N8" s="50">
        <f>IF(SUM(N9:N19),SUM(N9:N19),"")</f>
        <v>1599.6000000000001</v>
      </c>
      <c r="O8" s="55">
        <f t="shared" ref="O8:Z8" si="2">IF(SUM(O9:O20),SUM(O9:O20),"")</f>
        <v>2399.4</v>
      </c>
      <c r="P8" s="55">
        <f t="shared" si="2"/>
        <v>1599.6000000000001</v>
      </c>
      <c r="Q8" s="55">
        <f t="shared" si="2"/>
        <v>799.80000000000007</v>
      </c>
      <c r="R8" s="55" t="str">
        <f t="shared" si="2"/>
        <v/>
      </c>
      <c r="S8" s="55" t="str">
        <f t="shared" si="2"/>
        <v/>
      </c>
      <c r="T8" s="55" t="str">
        <f t="shared" si="2"/>
        <v/>
      </c>
      <c r="U8" s="55" t="str">
        <f t="shared" si="2"/>
        <v/>
      </c>
      <c r="V8" s="55" t="str">
        <f t="shared" si="2"/>
        <v/>
      </c>
      <c r="W8" s="55" t="str">
        <f t="shared" si="2"/>
        <v/>
      </c>
      <c r="X8" s="55" t="str">
        <f t="shared" si="2"/>
        <v/>
      </c>
      <c r="Y8" s="55" t="str">
        <f t="shared" si="2"/>
        <v/>
      </c>
      <c r="Z8" s="55" t="str">
        <f t="shared" si="2"/>
        <v/>
      </c>
      <c r="AA8" s="56" t="str">
        <f>IF(SUM(AA11:AA20),SUM(AA11:AA20),"")</f>
        <v/>
      </c>
      <c r="AB8" s="56" t="str">
        <f>IF(SUM(AB12:AB20),SUM(AB12:AB20),"")</f>
        <v/>
      </c>
      <c r="AC8" s="56" t="str">
        <f>IF(SUM(AC13:AC20),SUM(AC13:AC20),"")</f>
        <v/>
      </c>
      <c r="AD8" s="56" t="str">
        <f>IF(SUM(AD14:AD20),SUM(AD14:AD20),"")</f>
        <v/>
      </c>
      <c r="AE8" s="56" t="str">
        <f>IF(SUM(AE15:AE20),SUM(AE15:AE20),"")</f>
        <v/>
      </c>
      <c r="AF8" s="56" t="str">
        <f>IF(SUM(AF16:AF20),SUM(AF16:AF20),"")</f>
        <v/>
      </c>
      <c r="AG8" s="56" t="str">
        <f>IF(SUM(AG17:AG20),SUM(AG17:AG20),"")</f>
        <v/>
      </c>
      <c r="AH8" s="56" t="str">
        <f>IF(SUM(AH18:AH20),SUM(AH18:AH20),"")</f>
        <v/>
      </c>
      <c r="AI8" s="56" t="str">
        <f>IF(SUM(AI19:AI20),SUM(AI19:AI20),"")</f>
        <v/>
      </c>
      <c r="AJ8" s="56" t="str">
        <f>IF(SUM(AJ20),SUM(AJ20),"")</f>
        <v/>
      </c>
      <c r="AK8" s="1"/>
      <c r="AL8" s="1"/>
      <c r="AV8" s="1">
        <f>SUM(C8:AK8)</f>
        <v>11997</v>
      </c>
    </row>
    <row r="9" spans="1:48" hidden="1">
      <c r="A9" s="90" t="s">
        <v>83</v>
      </c>
      <c r="B9" s="51">
        <f>IF('Reverse Engineering Valuation'!F41,'Reverse Engineering Valuation'!H41,'Reverse Engineering Valuation'!E41)</f>
        <v>10</v>
      </c>
      <c r="C9" s="91"/>
      <c r="D9" s="50" t="str">
        <f>IF(OR(NOT(C5),(COLUMN()-3)-(B7+1)&lt;0,(B7+1+B8) - (COLUMN()-2) &lt;0),"",C5*(1-B6)/(B8+1)*B5)</f>
        <v/>
      </c>
      <c r="E9" s="50" t="str">
        <f>IF(OR(NOT(C5),(COLUMN()-3)-(B7+1)&lt;0,(B7+1+B8) - (COLUMN()-2) &lt;0),"",C5*(1-B6)/(B8+1)*B5)</f>
        <v/>
      </c>
      <c r="F9" s="50" t="str">
        <f>IF(OR(NOT(C5),(COLUMN()-3)-(B7+1)&lt;0,(B7+1+B8) - (COLUMN()-2) &lt;0),"",C5*(1-B6)/(B8+1)*B5)</f>
        <v/>
      </c>
      <c r="G9" s="50" t="str">
        <f>IF(OR(NOT(C5),(COLUMN()-3)-(B7+1)&lt;0,(B7+1+B8) - (COLUMN()-2) &lt;0),"",C5*(1-B6)/(B8+1)*B5)</f>
        <v/>
      </c>
      <c r="H9" s="50" t="str">
        <f>IF(OR(NOT(C5),(COLUMN()-3)-(B7+1)&lt;0,(B7+1+B8) - (COLUMN()-2) &lt;0),"",C5*(1-B6)/(B8+1)*B5)</f>
        <v/>
      </c>
      <c r="I9" s="50" t="str">
        <f>IF(OR(NOT(C5),(COLUMN()-3)-(B7+1)&lt;0,(B7+1+B8) - (COLUMN()-2) &lt;0),"",C5*(1-B6)/(B8+1)*B5)</f>
        <v/>
      </c>
      <c r="J9" s="50" t="str">
        <f>IF(OR(NOT(C5),(COLUMN()-3)-(B7+1)&lt;0,(B7+1+B8) - (COLUMN()-2) &lt;0),"",C5*(1-B6)/(B8+1)*B5)</f>
        <v/>
      </c>
      <c r="K9" s="50" t="str">
        <f>IF(OR(NOT(C5),(COLUMN()-3)-(B7+1)&lt;0,(B7+1+B8) - (COLUMN()-2) &lt;0),"",C5*(1-B6)/(B8+1)*B5)</f>
        <v/>
      </c>
      <c r="L9" s="50" t="str">
        <f>IF(OR(NOT(C5),(COLUMN()-3)-(B7+1)&lt;0,(B7+1+B8) - (COLUMN()-2) &lt;0),"",C5*(1-B6)/(B8+1)*B5)</f>
        <v/>
      </c>
      <c r="M9" s="50" t="str">
        <f>IF(OR(NOT(C5),(COLUMN()-3)-(B7+1)&lt;0,(B7+1+B8) - (COLUMN()-2) &lt;0),"",C5*(1-B6)/(B8+1)*B5)</f>
        <v/>
      </c>
      <c r="N9" s="50" t="str">
        <f>IF(OR(NOT(C5),(COLUMN()-3)-(B7+1)&lt;0,(B7+1+B8) - (COLUMN()-2) &lt;0),"",C5*(1-B6)/(B8+1)*B5)</f>
        <v/>
      </c>
      <c r="O9" s="55" t="str">
        <f>IF(OR(NOT(C5),(COLUMN()-3)-(B7+1)&lt;0,(B7+1+B8) - (COLUMN()-2) &lt;0),"",C5*(1-B6)/(B8+1)*B5)</f>
        <v/>
      </c>
      <c r="P9" s="55" t="str">
        <f>IF(OR(NOT(C5),(COLUMN()-3)-(B7+1)&lt;0,(B7+1+B8) - (COLUMN()-2) &lt;0),"",C5*(1-B6)/(B8+1)*B5)</f>
        <v/>
      </c>
      <c r="Q9" s="55" t="str">
        <f>IF(OR(NOT(C5),(COLUMN()-3)-(B7+1)&lt;0,(B7+1+B8) - (COLUMN()-2) &lt;0),"",C5*(1-B6)/(B8+1)*B5)</f>
        <v/>
      </c>
      <c r="R9" s="55" t="str">
        <f>IF(OR(NOT(C5),(COLUMN()-3)-(B7+1)&lt;0,(B7+1+B8) - (COLUMN()-2) &lt;0),"",C5*(1-B6)/(B8+1)*B5)</f>
        <v/>
      </c>
      <c r="S9" s="55" t="str">
        <f>IF(OR(NOT(C5),(COLUMN()-3)-(B7+1)&lt;0,(B7+1+B8) - (COLUMN()-2) &lt;0),"",C5*(1-B6)/(B8+1)*B5)</f>
        <v/>
      </c>
      <c r="T9" s="55" t="str">
        <f>IF(OR(NOT(C5),(COLUMN()-3)-(B7+1)&lt;0,(B7+1+B8) - (COLUMN()-2) &lt;0),"",C5*(1-B6)/(B8+1)*B5)</f>
        <v/>
      </c>
      <c r="U9" s="55" t="str">
        <f>IF(OR(NOT(C5),(COLUMN()-3)-(B7+1)&lt;0,(B7+1+B8) - (COLUMN()-2) &lt;0),"",C5*(1-B6)/(B8+1)*B5)</f>
        <v/>
      </c>
      <c r="V9" s="55" t="str">
        <f>IF(OR(NOT(C5),(COLUMN()-3)-(B7+1)&lt;0,(B7+1+B8) - (COLUMN()-2) &lt;0),"",C5*(1-B6)/(B8+1)*B5)</f>
        <v/>
      </c>
      <c r="W9" s="55" t="str">
        <f>IF(OR(NOT(C5),(COLUMN()-3)-(B7+1)&lt;0,(B7+1+B8) - (COLUMN()-2) &lt;0),"",C5*(1-B6)/(B8+1)*B5)</f>
        <v/>
      </c>
      <c r="X9" s="55" t="str">
        <f>IF(OR(NOT(C5),(COLUMN()-3)-(B7+1)&lt;0,(B7+1+B8) - (COLUMN()-2) &lt;0),"",C5*(1-B6)/(B8+1)*B5)</f>
        <v/>
      </c>
      <c r="Y9" s="55" t="str">
        <f>IF(OR(NOT(C5),(COLUMN()-3)-(B7+1)&lt;0,(B7+1+B8) - (COLUMN()-2) &lt;0),"",C5*(1-B6)/(B8+1)*B5)</f>
        <v/>
      </c>
      <c r="Z9" s="55" t="str">
        <f>IF(OR(NOT(C5),(COLUMN()-3)-(B7+1)&lt;0,(B7+1+B8) - (COLUMN()-2) &lt;0),"",C5*(1-B6)/(B8+1)*B5)</f>
        <v/>
      </c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1"/>
      <c r="AV9" s="1">
        <f t="shared" ref="AV9:AV19" si="3">SUM(D9:AK9)</f>
        <v>0</v>
      </c>
    </row>
    <row r="10" spans="1:48" hidden="1">
      <c r="A10" s="90" t="s">
        <v>84</v>
      </c>
      <c r="B10" s="54">
        <f>B9-SUM(C5:N5)</f>
        <v>5</v>
      </c>
      <c r="C10" s="91"/>
      <c r="D10" s="91"/>
      <c r="E10" s="50" t="str">
        <f>IF(OR(NOT(D5),(COLUMN()-3)-(B7+2)&lt;0,(B7+2 +B8) - (COLUMN()-2) &lt;0),"",D5*(1-B6)/(B8+1)*B5)</f>
        <v/>
      </c>
      <c r="F10" s="50" t="str">
        <f>IF(OR(NOT(D5),(COLUMN()-3)-(B7+2)&lt;0,(B7+2 +B8) - (COLUMN()-2) &lt;0),"",D5*(1-B6)/(B8+1)*B5)</f>
        <v/>
      </c>
      <c r="G10" s="50" t="str">
        <f>IF(OR(NOT(D5),(COLUMN()-3)-(B7+2)&lt;0,(B7+2 +B8) - (COLUMN()-2) &lt;0),"",D5*(1-B6)/(B8+1)*B5)</f>
        <v/>
      </c>
      <c r="H10" s="50" t="str">
        <f>IF(OR(NOT(D5),(COLUMN()-3)-(B7+2)&lt;0,(B7+2 +B8) - (COLUMN()-2) &lt;0),"",D5*(1-B6)/(B8+1)*B5)</f>
        <v/>
      </c>
      <c r="I10" s="50" t="str">
        <f>IF(OR(NOT(D5),(COLUMN()-3)-(B7+2)&lt;0,(B7+2 +B8) - (COLUMN()-2) &lt;0),"",D5*(1-B6)/(B8+1)*B5)</f>
        <v/>
      </c>
      <c r="J10" s="50" t="str">
        <f>IF(OR(NOT(D5),(COLUMN()-3)-(B7+2)&lt;0,(B7+2 +B8) - (COLUMN()-2) &lt;0),"",D5*(1-B6)/(B8+1)*B5)</f>
        <v/>
      </c>
      <c r="K10" s="50" t="str">
        <f>IF(OR(NOT(D5),(COLUMN()-3)-(B7+2)&lt;0,(B7+2 +B8) - (COLUMN()-2) &lt;0),"",D5*(1-B6)/(B8+1)*B5)</f>
        <v/>
      </c>
      <c r="L10" s="50" t="str">
        <f>IF(OR(NOT(D5),(COLUMN()-3)-(B7+2)&lt;0,(B7+2 +B8) - (COLUMN()-2) &lt;0),"",D5*(1-B6)/(B8+1)*B5)</f>
        <v/>
      </c>
      <c r="M10" s="50" t="str">
        <f>IF(OR(NOT(D5),(COLUMN()-3)-(B7+2)&lt;0,(B7+2 +B8) - (COLUMN()-2) &lt;0),"",D5*(1-B6)/(B8+1)*B5)</f>
        <v/>
      </c>
      <c r="N10" s="50" t="str">
        <f>IF(OR(NOT(D5),(COLUMN()-3)-(B7+2)&lt;0,(B7+2 +B8) - (COLUMN()-2) &lt;0),"",D5*(1-B6)/(B8+1)*B5)</f>
        <v/>
      </c>
      <c r="O10" s="55" t="str">
        <f>IF(OR(NOT(D5),(COLUMN()-3)-(B7+2)&lt;0,(B7+2 +B8) - (COLUMN()-2) &lt;0),"",D5*(1-B6)/(B8+1)*B5)</f>
        <v/>
      </c>
      <c r="P10" s="55" t="str">
        <f>IF(OR(NOT(D5),(COLUMN()-3)-(B7+2)&lt;0,(B7+2 +B8) - (COLUMN()-2) &lt;0),"",D5*(1-B6)/(B8+1)*B5)</f>
        <v/>
      </c>
      <c r="Q10" s="55" t="str">
        <f>IF(OR(NOT(D5),(COLUMN()-3)-(B7+2)&lt;0,(B7+2 +B8) - (COLUMN()-2) &lt;0),"",D5*(1-B6)/(B8+1)*B5)</f>
        <v/>
      </c>
      <c r="R10" s="55" t="str">
        <f>IF(OR(NOT(D5),(COLUMN()-3)-(B7+2)&lt;0,(B7+2 +B8) - (COLUMN()-2) &lt;0),"",D5*(1-B6)/(B8+1)*B5)</f>
        <v/>
      </c>
      <c r="S10" s="55" t="str">
        <f>IF(OR(NOT(D5),(COLUMN()-3)-(B7+2)&lt;0,(B7+2 +B8) - (COLUMN()-2) &lt;0),"",D5*(1-B6)/(B8+1)*B5)</f>
        <v/>
      </c>
      <c r="T10" s="55" t="str">
        <f>IF(OR(NOT(D5),(COLUMN()-3)-(B7+2)&lt;0,(B7+2 +B8) - (COLUMN()-2) &lt;0),"",D5*(1-B6)/(B8+1)*B5)</f>
        <v/>
      </c>
      <c r="U10" s="55" t="str">
        <f>IF(OR(NOT(D5),(COLUMN()-3)-(B7+2)&lt;0,(B7+2 +B8) - (COLUMN()-2) &lt;0),"",D5*(1-B6)/(B8+1)*B5)</f>
        <v/>
      </c>
      <c r="V10" s="55" t="str">
        <f>IF(OR(NOT(D5),(COLUMN()-3)-(B7+2)&lt;0,(B7+2 +B8) - (COLUMN()-2) &lt;0),"",D5*(1-B6)/(B8+1)*B5)</f>
        <v/>
      </c>
      <c r="W10" s="55" t="str">
        <f>IF(OR(NOT(D5),(COLUMN()-3)-(B7+2)&lt;0,(B7+2 +B8) - (COLUMN()-2) &lt;0),"",D5*(1-B6)/(B8+1)*B5)</f>
        <v/>
      </c>
      <c r="X10" s="55" t="str">
        <f>IF(OR(NOT(D5),(COLUMN()-3)-(B7+2)&lt;0,(B7+2 +B8) - (COLUMN()-2) &lt;0),"",D5*(1-B6)/(B8+1)*B5)</f>
        <v/>
      </c>
      <c r="Y10" s="55" t="str">
        <f>IF(OR(NOT(D5),(COLUMN()-3)-(B7+2)&lt;0,(B7+2 +B8) - (COLUMN()-2) &lt;0),"",D5*(1-B6)/(B8+1)*B5)</f>
        <v/>
      </c>
      <c r="Z10" s="55" t="str">
        <f>IF(OR(NOT(D5),(COLUMN()-3)-(B7+2)&lt;0,(B7+2 +B8) - (COLUMN()-2) &lt;0),"",D5*(1-B6)/(B8+1)*B5)</f>
        <v/>
      </c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V10" s="1">
        <f t="shared" si="3"/>
        <v>0</v>
      </c>
    </row>
    <row r="11" spans="1:48" hidden="1">
      <c r="A11" s="91"/>
      <c r="B11" s="91"/>
      <c r="C11" s="91"/>
      <c r="D11" s="91"/>
      <c r="E11" s="91"/>
      <c r="F11" s="50">
        <f>IF(OR(NOT(E5),(COLUMN()-3)-(B7+3)&lt;0,(B7+3+B8) - (COLUMN()-2) &lt;0),"",E5*(1-B6)/(B8+1)*B5)</f>
        <v>799.80000000000007</v>
      </c>
      <c r="G11" s="50">
        <f>IF(OR(NOT(E5),(COLUMN()-3)-(B7+3)&lt;0,(B7+3+B8) - (COLUMN()-2) &lt;0),"",E5*(1-B6)/(B8+1)*B5)</f>
        <v>799.80000000000007</v>
      </c>
      <c r="H11" s="50">
        <f>IF(OR(NOT(E5),(COLUMN()-3)-(B7+3)&lt;0,(B7+3+B8) - (COLUMN()-2) &lt;0),"",E5*(1-B6)/(B8+1)*B5)</f>
        <v>799.80000000000007</v>
      </c>
      <c r="I11" s="50" t="str">
        <f>IF(OR(NOT(E5),(COLUMN()-3)-(B7+3)&lt;0,(B7+3+B8) - (COLUMN()-2) &lt;0),"",E5*(1-B6)/(B8+1)*B5)</f>
        <v/>
      </c>
      <c r="J11" s="50" t="str">
        <f>IF(OR(NOT(E5),(COLUMN()-3)-(B7+3)&lt;0,(B7+3+B8) - (COLUMN()-2) &lt;0),"",E5*(1-B6)/(B8+1)*B5)</f>
        <v/>
      </c>
      <c r="K11" s="50" t="str">
        <f>IF(OR(NOT(E5),(COLUMN()-3)-(B7+3)&lt;0,(B7+3+B8) - (COLUMN()-2) &lt;0),"",E5*(1-B6)/(B8+1)*B5)</f>
        <v/>
      </c>
      <c r="L11" s="50" t="str">
        <f>IF(OR(NOT(E5),(COLUMN()-3)-(B7+3)&lt;0,(B7+3+B8) - (COLUMN()-2) &lt;0),"",E5*(1-B6)/(B8+1)*B5)</f>
        <v/>
      </c>
      <c r="M11" s="50" t="str">
        <f>IF(OR(NOT(E5),(COLUMN()-3)-(B7+3)&lt;0,(B7+3+B8) - (COLUMN()-2) &lt;0),"",E5*(1-B6)/(B8+1)*B5)</f>
        <v/>
      </c>
      <c r="N11" s="50" t="str">
        <f>IF(OR(NOT(E5),(COLUMN()-3)-(B7+3)&lt;0,(B7+3+B8) - (COLUMN()-2) &lt;0),"",E5*(1-B6)/(B8+1)*B5)</f>
        <v/>
      </c>
      <c r="O11" s="55" t="str">
        <f>IF(OR(NOT(E5),(COLUMN()-3)-(B7+3)&lt;0,(B7+3+B8) - (COLUMN()-2) &lt;0),"",E5*(1-B6)/(B8+1)*B5)</f>
        <v/>
      </c>
      <c r="P11" s="55" t="str">
        <f>IF(OR(NOT(E5),(COLUMN()-3)-(B7+3)&lt;0,(B7+3+B8) - (COLUMN()-2) &lt;0),"",E5*(1-B6)/(B8+1)*B5)</f>
        <v/>
      </c>
      <c r="Q11" s="55" t="str">
        <f>IF(OR(NOT(E5),(COLUMN()-3)-(B7+3)&lt;0,(B7+3+B8) - (COLUMN()-2) &lt;0),"",E5*(1-B6)/(B8+1)*B5)</f>
        <v/>
      </c>
      <c r="R11" s="55" t="str">
        <f>IF(OR(NOT(E5),(COLUMN()-3)-(B7+3)&lt;0,(B7+3+B8) - (COLUMN()-2) &lt;0),"",E5*(1-B6)/(B8+1)*B5)</f>
        <v/>
      </c>
      <c r="S11" s="55" t="str">
        <f>IF(OR(NOT(E5),(COLUMN()-3)-(B7+3)&lt;0,(B7+3+B8) - (COLUMN()-2) &lt;0),"",E5*(1-B6)/(B8+1)*B5)</f>
        <v/>
      </c>
      <c r="T11" s="55" t="str">
        <f>IF(OR(NOT(E5),(COLUMN()-3)-(B7+3)&lt;0,(B7+3+B8) - (COLUMN()-2) &lt;0),"",E5*(1-B6)/(B8+1)*B5)</f>
        <v/>
      </c>
      <c r="U11" s="55" t="str">
        <f>IF(OR(NOT(E5),(COLUMN()-3)-(B7+3)&lt;0,(B7+3+B8) - (COLUMN()-2) &lt;0),"",E5*(1-B6)/(B8+1)*B5)</f>
        <v/>
      </c>
      <c r="V11" s="55" t="str">
        <f>IF(OR(NOT(E5),(COLUMN()-3)-(B7+3)&lt;0,(B7+3+B8) - (COLUMN()-2) &lt;0),"",E5*(1-B6)/(B8+1)*B5)</f>
        <v/>
      </c>
      <c r="W11" s="55" t="str">
        <f>IF(OR(NOT(E5),(COLUMN()-3)-(B7+3)&lt;0,(B7+3+B8) - (COLUMN()-2) &lt;0),"",E5*(1-B6)/(B8+1)*B5)</f>
        <v/>
      </c>
      <c r="X11" s="55" t="str">
        <f>IF(OR(NOT(E5),(COLUMN()-3)-(B7+3)&lt;0,(B7+3+B8) - (COLUMN()-2) &lt;0),"",E5*(1-B6)/(B8+1)*B5)</f>
        <v/>
      </c>
      <c r="Y11" s="55" t="str">
        <f>IF(OR(NOT(E5),(COLUMN()-3)-(B7+3)&lt;0,(B7+3+B8) - (COLUMN()-2) &lt;0),"",E5*(1-B6)/(B8+1)*B5)</f>
        <v/>
      </c>
      <c r="Z11" s="55" t="str">
        <f>IF(OR(NOT(E5),(COLUMN()-3)-(B7+3)&lt;0,(B7+3+B8) - (COLUMN()-2) &lt;0),"",E5*(1-B6)/(B8+1)*B5)</f>
        <v/>
      </c>
      <c r="AA11" s="56" t="str">
        <f>IF(OR(NOT(E5),(COLUMN()-3)-(B7+3)&lt;0,(B7+3+B8) - (COLUMN()-2) &lt;0),"",E5*(1-B6)/(B8+1)*B5)</f>
        <v/>
      </c>
      <c r="AB11" s="91"/>
      <c r="AC11" s="91"/>
      <c r="AD11" s="91"/>
      <c r="AE11" s="91"/>
      <c r="AF11" s="91"/>
      <c r="AG11" s="91"/>
      <c r="AH11" s="91"/>
      <c r="AI11" s="91"/>
      <c r="AJ11" s="91"/>
      <c r="AV11" s="1">
        <f t="shared" si="3"/>
        <v>2399.4</v>
      </c>
    </row>
    <row r="12" spans="1:48" hidden="1">
      <c r="A12" s="91"/>
      <c r="B12" s="91"/>
      <c r="C12" s="91"/>
      <c r="D12" s="91"/>
      <c r="E12" s="91"/>
      <c r="F12" s="91"/>
      <c r="G12" s="50" t="str">
        <f>IF(OR(NOT(F5),(COLUMN()-3)-(B7+4)&lt;0,(B7+4+B8) - (COLUMN()-2) &lt;0),"",F5*(1-B6)/(B8+1)*B5)</f>
        <v/>
      </c>
      <c r="H12" s="50" t="str">
        <f>IF(OR(NOT(F5),(COLUMN()-3)-(B7+4)&lt;0,(B7+4+B8) - (COLUMN()-2) &lt;0),"",F5*(1-B6)/(B8+1)*B5)</f>
        <v/>
      </c>
      <c r="I12" s="50" t="str">
        <f>IF(OR(NOT(F5),(COLUMN()-3)-(B7+4)&lt;0,(B7+4+B8) - (COLUMN()-2) &lt;0),"",F5*(1-B6)/(B8+1)*B5)</f>
        <v/>
      </c>
      <c r="J12" s="50" t="str">
        <f>IF(OR(NOT(F5),(COLUMN()-3)-(B7+4)&lt;0,(B7+4+B8) - (COLUMN()-2) &lt;0),"",F5*(1-B6)/(B8+1)*B5)</f>
        <v/>
      </c>
      <c r="K12" s="50" t="str">
        <f>IF(OR(NOT(F5),(COLUMN()-3)-(B7+4)&lt;0,(B7+4+B8) - (COLUMN()-2) &lt;0),"",F5*(1-B6)/(B8+1)*B5)</f>
        <v/>
      </c>
      <c r="L12" s="50" t="str">
        <f>IF(OR(NOT(F5),(COLUMN()-3)-(B7+4)&lt;0,(B7+4+B8) - (COLUMN()-2) &lt;0),"",F5*(1-B6)/(B8+1)*B5)</f>
        <v/>
      </c>
      <c r="M12" s="50" t="str">
        <f>IF(OR(NOT(F5),(COLUMN()-3)-(B7+4)&lt;0,(B7+4+B8) - (COLUMN()-2) &lt;0),"",F5*(1-B6)/(B8+1)*B5)</f>
        <v/>
      </c>
      <c r="N12" s="50" t="str">
        <f>IF(OR(NOT(F5),(COLUMN()-3)-(B7+4)&lt;0,(B7+4+B8) - (COLUMN()-2) &lt;0),"",F5*(1-B6)/(B8+1)*B5)</f>
        <v/>
      </c>
      <c r="O12" s="55" t="str">
        <f>IF(OR(NOT(F5),(COLUMN()-3)-(B7+4)&lt;0,(B7+4+B8) - (COLUMN()-2) &lt;0),"",F5*(1-B6)/(B8+1)*B5)</f>
        <v/>
      </c>
      <c r="P12" s="55" t="str">
        <f>IF(OR(NOT(F5),(COLUMN()-3)-(B7+4)&lt;0,(B7+4+B8) - (COLUMN()-2) &lt;0),"",F5*(1-B6)/(B8+1)*B5)</f>
        <v/>
      </c>
      <c r="Q12" s="55" t="str">
        <f>IF(OR(NOT(F5),(COLUMN()-3)-(B7+4)&lt;0,(B7+4+B8) - (COLUMN()-2) &lt;0),"",F5*(1-B6)/(B8+1)*B5)</f>
        <v/>
      </c>
      <c r="R12" s="55" t="str">
        <f>IF(OR(NOT(F5),(COLUMN()-3)-(B7+4)&lt;0,(B7+4+B8) - (COLUMN()-2) &lt;0),"",F5*(1-B6)/(B8+1)*B5)</f>
        <v/>
      </c>
      <c r="S12" s="55" t="str">
        <f>IF(OR(NOT(F5),(COLUMN()-3)-(B7+4)&lt;0,(B7+4+B8) - (COLUMN()-2) &lt;0),"",F5*(1-B6)/(B8+1)*B5)</f>
        <v/>
      </c>
      <c r="T12" s="55" t="str">
        <f>IF(OR(NOT(F5),(COLUMN()-3)-(B7+4)&lt;0,(B7+4+B8) - (COLUMN()-2) &lt;0),"",F5*(1-B6)/(B8+1)*B5)</f>
        <v/>
      </c>
      <c r="U12" s="55" t="str">
        <f>IF(OR(NOT(F5),(COLUMN()-3)-(B7+4)&lt;0,(B7+4+B8) - (COLUMN()-2) &lt;0),"",F5*(1-B6)/(B8+1)*B5)</f>
        <v/>
      </c>
      <c r="V12" s="55" t="str">
        <f>IF(OR(NOT(F5),(COLUMN()-3)-(B7+4)&lt;0,(B7+4+B8) - (COLUMN()-2) &lt;0),"",F5*(1-B6)/(B8+1)*B5)</f>
        <v/>
      </c>
      <c r="W12" s="55" t="str">
        <f>IF(OR(NOT(F5),(COLUMN()-3)-(B7+4)&lt;0,(B7+4+B8) - (COLUMN()-2) &lt;0),"",F5*(1-B6)/(B8+1)*B5)</f>
        <v/>
      </c>
      <c r="X12" s="55" t="str">
        <f>IF(OR(NOT(F5),(COLUMN()-3)-(B7+4)&lt;0,(B7+4+B8) - (COLUMN()-2) &lt;0),"",F5*(1-B6)/(B8+1)*B5)</f>
        <v/>
      </c>
      <c r="Y12" s="55" t="str">
        <f>IF(OR(NOT(F5),(COLUMN()-3)-(B7+4)&lt;0,(B7+4+B8) - (COLUMN()-2) &lt;0),"",F5*(1-B6)/(B8+1)*B5)</f>
        <v/>
      </c>
      <c r="Z12" s="55" t="str">
        <f>IF(OR(NOT(F5),(COLUMN()-3)-(B7+4)&lt;0,(B7+4+B8) - (COLUMN()-2) &lt;0),"",F5*(1-B6)/(B8+1)*B5)</f>
        <v/>
      </c>
      <c r="AA12" s="56" t="str">
        <f>IF(OR(NOT(F5),(COLUMN()-3)-(B7+4)&lt;0,(B7+4+B8) - (COLUMN()-2) &lt;0),"",F5*(1-B6)/(B8+1)*B5)</f>
        <v/>
      </c>
      <c r="AB12" s="56" t="str">
        <f>IF(OR(NOT(F5),(COLUMN()-3)-(B7+4)&lt;0,(B7+4+B8) - (COLUMN()-2) &lt;0),"",F5*(1-B6)/(B8+1)*B5)</f>
        <v/>
      </c>
      <c r="AC12" s="91"/>
      <c r="AD12" s="91"/>
      <c r="AE12" s="91"/>
      <c r="AF12" s="91"/>
      <c r="AG12" s="91"/>
      <c r="AH12" s="91"/>
      <c r="AI12" s="91"/>
      <c r="AJ12" s="91"/>
      <c r="AV12" s="1">
        <f t="shared" si="3"/>
        <v>0</v>
      </c>
    </row>
    <row r="13" spans="1:48" hidden="1">
      <c r="A13" s="91"/>
      <c r="B13" s="91"/>
      <c r="C13" s="91"/>
      <c r="D13" s="91"/>
      <c r="E13" s="91"/>
      <c r="F13" s="91"/>
      <c r="G13" s="91"/>
      <c r="H13" s="50" t="str">
        <f>IF(OR(NOT(G5),(COLUMN()-3)-(B7+5)&lt;0,(B7+5+B8) - (COLUMN()-2) &lt;0),"",G5*(1-B6)/(B8+1)*B5)</f>
        <v/>
      </c>
      <c r="I13" s="50" t="str">
        <f>IF(OR(NOT(G5),(COLUMN()-3)-(B7+5)&lt;0,(B7+5+B8) - (COLUMN()-2) &lt;0),"",G5*(1-B6)/(B8+1)*B5)</f>
        <v/>
      </c>
      <c r="J13" s="50" t="str">
        <f>IF(OR(NOT(G5),(COLUMN()-3)-(B7+5)&lt;0,(B7+5+B8) - (COLUMN()-2) &lt;0),"",G5*(1-B6)/(B8+1)*B5)</f>
        <v/>
      </c>
      <c r="K13" s="50" t="str">
        <f>IF(OR(NOT(G5),(COLUMN()-3)-(B7+5)&lt;0,(B7+5+B8) - (COLUMN()-2) &lt;0),"",G5*(1-B6)/(B8+1)*B5)</f>
        <v/>
      </c>
      <c r="L13" s="50" t="str">
        <f>IF(OR(NOT(G5),(COLUMN()-3)-(B7+5)&lt;0,(B7+5+B8) - (COLUMN()-2) &lt;0),"",G5*(1-B6)/(B8+1)*B5)</f>
        <v/>
      </c>
      <c r="M13" s="50" t="str">
        <f>IF(OR(NOT(G5),(COLUMN()-3)-(B7+5)&lt;0,(B7+5+B8) - (COLUMN()-2) &lt;0),"",G5*(1-B6)/(B8+1)*B5)</f>
        <v/>
      </c>
      <c r="N13" s="50" t="str">
        <f>IF(OR(NOT(G5),(COLUMN()-3)-(B7+5)&lt;0,(B7+5+B8) - (COLUMN()-2) &lt;0),"",G5*(1-B6)/(B8+1)*B5)</f>
        <v/>
      </c>
      <c r="O13" s="55" t="str">
        <f>IF(OR(NOT(G5),(COLUMN()-3)-(B7+5)&lt;0,(B7+5+B8) - (COLUMN()-2) &lt;0),"",G5*(1-B6)/(B8+1)*B5)</f>
        <v/>
      </c>
      <c r="P13" s="55" t="str">
        <f>IF(OR(NOT(G5),(COLUMN()-3)-(B7+5)&lt;0,(B7+5+B8) - (COLUMN()-2) &lt;0),"",G5*(1-B6)/(B8+1)*B5)</f>
        <v/>
      </c>
      <c r="Q13" s="55" t="str">
        <f>IF(OR(NOT(G5),(COLUMN()-3)-(B7+5)&lt;0,(B7+5+B8) - (COLUMN()-2) &lt;0),"",G5*(1-B6)/(B8+1)*B5)</f>
        <v/>
      </c>
      <c r="R13" s="55" t="str">
        <f>IF(OR(NOT(G5),(COLUMN()-3)-(B7+5)&lt;0,(B7+5+B8) - (COLUMN()-2) &lt;0),"",G5*(1-B6)/(B8+1)*B5)</f>
        <v/>
      </c>
      <c r="S13" s="55" t="str">
        <f>IF(OR(NOT(G5),(COLUMN()-3)-(B7+5)&lt;0,(B7+5+B8) - (COLUMN()-2) &lt;0),"",G5*(1-B6)/(B8+1)*B5)</f>
        <v/>
      </c>
      <c r="T13" s="55" t="str">
        <f>IF(OR(NOT(G5),(COLUMN()-3)-(B7+5)&lt;0,(B7+5+B8) - (COLUMN()-2) &lt;0),"",G5*(1-B6)/(B8+1)*B5)</f>
        <v/>
      </c>
      <c r="U13" s="55" t="str">
        <f>IF(OR(NOT(G5),(COLUMN()-3)-(B7+5)&lt;0,(B7+5+B8) - (COLUMN()-2) &lt;0),"",G5*(1-B6)/(B8+1)*B5)</f>
        <v/>
      </c>
      <c r="V13" s="55" t="str">
        <f>IF(OR(NOT(G5),(COLUMN()-3)-(B7+5)&lt;0,(B7+5+B8) - (COLUMN()-2) &lt;0),"",G5*(1-B6)/(B8+1)*B5)</f>
        <v/>
      </c>
      <c r="W13" s="55" t="str">
        <f>IF(OR(NOT(G5),(COLUMN()-3)-(B7+5)&lt;0,(B7+5+B8) - (COLUMN()-2) &lt;0),"",G5*(1-B6)/(B8+1)*B5)</f>
        <v/>
      </c>
      <c r="X13" s="55" t="str">
        <f>IF(OR(NOT(G5),(COLUMN()-3)-(B7+5)&lt;0,(B7+5+B8) - (COLUMN()-2) &lt;0),"",G5*(1-B6)/(B8+1)*B5)</f>
        <v/>
      </c>
      <c r="Y13" s="55" t="str">
        <f>IF(OR(NOT(G5),(COLUMN()-3)-(B7+5)&lt;0,(B7+5+B8) - (COLUMN()-2) &lt;0),"",G5*(1-B6)/(B8+1)*B5)</f>
        <v/>
      </c>
      <c r="Z13" s="55" t="str">
        <f>IF(OR(NOT(G5),(COLUMN()-3)-(B7+5)&lt;0,(B7+5+B8) - (COLUMN()-2) &lt;0),"",G5*(1-B6)/(B8+1)*B5)</f>
        <v/>
      </c>
      <c r="AA13" s="56" t="str">
        <f>IF(OR(NOT(G5),(COLUMN()-3)-(B7+5)&lt;0,(B7+5+B8) - (COLUMN()-2) &lt;0),"",G5*(1-B6)/(B8+1)*B5)</f>
        <v/>
      </c>
      <c r="AB13" s="56" t="str">
        <f>IF(OR(NOT(G5),(COLUMN()-3)-(B7+5)&lt;0,(B7+5+B8) - (COLUMN()-2) &lt;0),"",G5*(1-B6)/(B8+1)*B5)</f>
        <v/>
      </c>
      <c r="AC13" s="56" t="str">
        <f>IF(OR(NOT(G5),(COLUMN()-3)-(B7+5)&lt;0,(B7+5+B8) - (COLUMN()-2) &lt;0),"",G5*(1-B6)/(B8+1)*B5)</f>
        <v/>
      </c>
      <c r="AD13" s="91"/>
      <c r="AE13" s="91"/>
      <c r="AF13" s="91"/>
      <c r="AG13" s="91"/>
      <c r="AH13" s="91"/>
      <c r="AI13" s="91"/>
      <c r="AJ13" s="91"/>
      <c r="AV13" s="1">
        <f t="shared" si="3"/>
        <v>0</v>
      </c>
    </row>
    <row r="14" spans="1:48" hidden="1">
      <c r="A14" s="91"/>
      <c r="B14" s="91"/>
      <c r="C14" s="91"/>
      <c r="D14" s="91"/>
      <c r="E14" s="91"/>
      <c r="F14" s="91"/>
      <c r="G14" s="91"/>
      <c r="H14" s="91"/>
      <c r="I14" s="50">
        <f>IF(OR(NOT(H5),(COLUMN()-3)-(B7+6)&lt;0,(B7+6+B8) - (COLUMN()-2) &lt;0),"",H5*(1-B6)/(B8+1)*B5)</f>
        <v>799.80000000000007</v>
      </c>
      <c r="J14" s="50">
        <f>IF(OR(NOT(H5),(COLUMN()-3)-(B7+6)&lt;0,(B7+6+B8) - (COLUMN()-2) &lt;0),"",H5*(1-B6)/(B8+1)*B5)</f>
        <v>799.80000000000007</v>
      </c>
      <c r="K14" s="50">
        <f>IF(OR(NOT(H5),(COLUMN()-3)-(B7+6)&lt;0,(B7+6+B8) - (COLUMN()-2) &lt;0),"",H5*(1-B6)/(B8+1)*B5)</f>
        <v>799.80000000000007</v>
      </c>
      <c r="L14" s="50" t="str">
        <f>IF(OR(NOT(H5),(COLUMN()-3)-(B7+6)&lt;0,(B7+6+B8) - (COLUMN()-2) &lt;0),"",H5*(1-B6)/(B8+1)*B5)</f>
        <v/>
      </c>
      <c r="M14" s="50" t="str">
        <f>IF(OR(NOT(H5),(COLUMN()-3)-(B7+6)&lt;0,(B7+6+B8) - (COLUMN()-2) &lt;0),"",H5*(1-B6)/(B8+1)*B5)</f>
        <v/>
      </c>
      <c r="N14" s="50" t="str">
        <f>IF(OR(NOT(H5),(COLUMN()-3)-(B7+6)&lt;0,(B7+6+B8) - (COLUMN()-2) &lt;0),"",H5*(1-B6)/(B8+1)*B5)</f>
        <v/>
      </c>
      <c r="O14" s="55" t="str">
        <f>IF(OR(NOT(H5),(COLUMN()-3)-(B7+6)&lt;0,(B7+6+B8) - (COLUMN()-2) &lt;0),"",H5*(1-B6)/(B8+1)*B5)</f>
        <v/>
      </c>
      <c r="P14" s="55" t="str">
        <f>IF(OR(NOT(H5),(COLUMN()-3)-(B7+6)&lt;0,(B7+6+B8) - (COLUMN()-2) &lt;0),"",H5*(1-B6)/(B8+1)*B5)</f>
        <v/>
      </c>
      <c r="Q14" s="55" t="str">
        <f>IF(OR(NOT(H5),(COLUMN()-3)-(B7+6)&lt;0,(B7+6+B8) - (COLUMN()-2) &lt;0),"",H5*(1-B6)/(B8+1)*B5)</f>
        <v/>
      </c>
      <c r="R14" s="55" t="str">
        <f>IF(OR(NOT(H5),(COLUMN()-3)-(B7+6)&lt;0,(B7+6+B8) - (COLUMN()-2) &lt;0),"",H5*(1-B6)/(B8+1)*B5)</f>
        <v/>
      </c>
      <c r="S14" s="55" t="str">
        <f>IF(OR(NOT(H5),(COLUMN()-3)-(B7+6)&lt;0,(B7+6+B8) - (COLUMN()-2) &lt;0),"",H5*(1-B6)/(B8+1)*B5)</f>
        <v/>
      </c>
      <c r="T14" s="55" t="str">
        <f>IF(OR(NOT(H5),(COLUMN()-3)-(B7+6)&lt;0,(B7+6+B8) - (COLUMN()-2) &lt;0),"",H5*(1-B6)/(B8+1)*B5)</f>
        <v/>
      </c>
      <c r="U14" s="55" t="str">
        <f>IF(OR(NOT(H5),(COLUMN()-3)-(B7+6)&lt;0,(B7+6+B8) - (COLUMN()-2) &lt;0),"",H5*(1-B6)/(B8+1)*B5)</f>
        <v/>
      </c>
      <c r="V14" s="55" t="str">
        <f>IF(OR(NOT(H5),(COLUMN()-3)-(B7+6)&lt;0,(B7+6+B8) - (COLUMN()-2) &lt;0),"",H5*(1-B6)/(B8+1)*B5)</f>
        <v/>
      </c>
      <c r="W14" s="55" t="str">
        <f>IF(OR(NOT(H5),(COLUMN()-3)-(B7+6)&lt;0,(B7+6+B8) - (COLUMN()-2) &lt;0),"",H5*(1-B6)/(B8+1)*B5)</f>
        <v/>
      </c>
      <c r="X14" s="55" t="str">
        <f>IF(OR(NOT(H5),(COLUMN()-3)-(B7+6)&lt;0,(B7+6+B8) - (COLUMN()-2) &lt;0),"",H5*(1-B6)/(B8+1)*B5)</f>
        <v/>
      </c>
      <c r="Y14" s="55" t="str">
        <f>IF(OR(NOT(H5),(COLUMN()-3)-(B7+6)&lt;0,(B7+6+B8) - (COLUMN()-2) &lt;0),"",H5*(1-B6)/(B8+1)*B5)</f>
        <v/>
      </c>
      <c r="Z14" s="55" t="str">
        <f>IF(OR(NOT(H5),(COLUMN()-3)-(B7+6)&lt;0,(B7+6+B8) - (COLUMN()-2) &lt;0),"",H5*(1-B6)/(B8+1)*B5)</f>
        <v/>
      </c>
      <c r="AA14" s="56" t="str">
        <f>IF(OR(NOT(H5),(COLUMN()-3)-(B7+6)&lt;0,(B7+6+B8) - (COLUMN()-2) &lt;0),"",H5*(1-B6)/(B8+1)*B5)</f>
        <v/>
      </c>
      <c r="AB14" s="56" t="str">
        <f>IF(OR(NOT(H5),(COLUMN()-3)-(B7+6)&lt;0,(B7+6+B8) - (COLUMN()-2) &lt;0),"",H5*(1-B6)/(B8+1)*B5)</f>
        <v/>
      </c>
      <c r="AC14" s="56" t="str">
        <f>IF(OR(NOT(H5),(COLUMN()-3)-(B7+6)&lt;0,(B7+6+B8) - (COLUMN()-2) &lt;0),"",H5*(1-B6)/(B8+1)*B5)</f>
        <v/>
      </c>
      <c r="AD14" s="56" t="str">
        <f>IF(OR(NOT(H5),(COLUMN()-3)-(B7+6)&lt;0,(B7+6+B8) - (COLUMN()-2) &lt;0),"",H5*(1-B6)/(B8+1)*B5)</f>
        <v/>
      </c>
      <c r="AE14" s="91"/>
      <c r="AF14" s="91"/>
      <c r="AG14" s="91"/>
      <c r="AH14" s="91"/>
      <c r="AI14" s="91"/>
      <c r="AJ14" s="91"/>
      <c r="AV14" s="1">
        <f t="shared" si="3"/>
        <v>2399.4</v>
      </c>
    </row>
    <row r="15" spans="1:48" hidden="1">
      <c r="A15" s="91"/>
      <c r="B15" s="91"/>
      <c r="C15" s="91"/>
      <c r="D15" s="91"/>
      <c r="E15" s="91"/>
      <c r="F15" s="91"/>
      <c r="G15" s="91"/>
      <c r="H15" s="91"/>
      <c r="I15" s="91"/>
      <c r="J15" s="50" t="str">
        <f>IF(OR(NOT(I5),(COLUMN()-3)-(B7+7)&lt;0,(B7+7+B8) - (COLUMN()-2) &lt;0),"",I5*(1-B6)/(B8+1)*B5)</f>
        <v/>
      </c>
      <c r="K15" s="50" t="str">
        <f>IF(OR(NOT(I5),(COLUMN()-3)-(B7+7)&lt;0,(B7+7+B8) - (COLUMN()-2) &lt;0),"",I5*(1-B6)/(B8+1)*B5)</f>
        <v/>
      </c>
      <c r="L15" s="50" t="str">
        <f>IF(OR(NOT(I5),(COLUMN()-3)-(B7+7)&lt;0,(B7+7+B8) - (COLUMN()-2) &lt;0),"",I5*(1-B6)/(B8+1)*B5)</f>
        <v/>
      </c>
      <c r="M15" s="50" t="str">
        <f>IF(OR(NOT(I5),(COLUMN()-3)-(B7+7)&lt;0,(B7+7+B8) - (COLUMN()-2) &lt;0),"",I5*(1-B6)/(B8+1)*B5)</f>
        <v/>
      </c>
      <c r="N15" s="50" t="str">
        <f>IF(OR(NOT(I5),(COLUMN()-3)-(B7+7)&lt;0,(B7+7+B8) - (COLUMN()-2) &lt;0),"",I5*(1-B6)/(B8+1)*B5)</f>
        <v/>
      </c>
      <c r="O15" s="55" t="str">
        <f>IF(OR(NOT(I5),(COLUMN()-3)-(B7+7)&lt;0,(B7+7+B8) - (COLUMN()-2) &lt;0),"",I5*(1-B6)/(B8+1)*B5)</f>
        <v/>
      </c>
      <c r="P15" s="55" t="str">
        <f>IF(OR(NOT(I5),(COLUMN()-3)-(B7+7)&lt;0,(B7+7+B8) - (COLUMN()-2) &lt;0),"",I5*(1-B6)/(B8+1)*B5)</f>
        <v/>
      </c>
      <c r="Q15" s="55" t="str">
        <f>IF(OR(NOT(I5),(COLUMN()-3)-(B7+7)&lt;0,(B7+7+B8) - (COLUMN()-2) &lt;0),"",I5*(1-B6)/(B8+1)*B5)</f>
        <v/>
      </c>
      <c r="R15" s="55" t="str">
        <f>IF(OR(NOT(I5),(COLUMN()-3)-(B7+7)&lt;0,(B7+7+B8) - (COLUMN()-2) &lt;0),"",I5*(1-B6)/(B8+1)*B5)</f>
        <v/>
      </c>
      <c r="S15" s="55" t="str">
        <f>IF(OR(NOT(I5),(COLUMN()-3)-(B7+7)&lt;0,(B7+7+B8) - (COLUMN()-2) &lt;0),"",I5*(1-B6)/(B8+1)*B5)</f>
        <v/>
      </c>
      <c r="T15" s="55" t="str">
        <f>IF(OR(NOT(I5),(COLUMN()-3)-(B7+7)&lt;0,(B7+7+B8) - (COLUMN()-2) &lt;0),"",I5*(1-B6)/(B8+1)*B5)</f>
        <v/>
      </c>
      <c r="U15" s="55" t="str">
        <f>IF(OR(NOT(I5),(COLUMN()-3)-(B7+7)&lt;0,(B7+7+B8) - (COLUMN()-2) &lt;0),"",I5*(1-B6)/(B8+1)*B5)</f>
        <v/>
      </c>
      <c r="V15" s="55" t="str">
        <f>IF(OR(NOT(I5),(COLUMN()-3)-(B7+7)&lt;0,(B7+7+B8) - (COLUMN()-2) &lt;0),"",I5*(1-B6)/(B8+1)*B5)</f>
        <v/>
      </c>
      <c r="W15" s="55" t="str">
        <f>IF(OR(NOT(I5),(COLUMN()-3)-(B7+7)&lt;0,(B7+7+B8) - (COLUMN()-2) &lt;0),"",I5*(1-B6)/(B8+1)*B5)</f>
        <v/>
      </c>
      <c r="X15" s="55" t="str">
        <f>IF(OR(NOT(I5),(COLUMN()-3)-(B7+7)&lt;0,(B7+7+B8) - (COLUMN()-2) &lt;0),"",I5*(1-B6)/(B8+1)*B5)</f>
        <v/>
      </c>
      <c r="Y15" s="55" t="str">
        <f>IF(OR(NOT(I5),(COLUMN()-3)-(B7+7)&lt;0,(B7+7+B8) - (COLUMN()-2) &lt;0),"",I5*(1-B6)/(B8+1)*B5)</f>
        <v/>
      </c>
      <c r="Z15" s="55" t="str">
        <f>IF(OR(NOT(I5),(COLUMN()-3)-(B7+7)&lt;0,(B7+7+B8) - (COLUMN()-2) &lt;0),"",I5*(1-B6)/(B8+1)*B5)</f>
        <v/>
      </c>
      <c r="AA15" s="56" t="str">
        <f>IF(OR(NOT(I5),(COLUMN()-3)-(B7+7)&lt;0,(B7+7+B8) - (COLUMN()-2) &lt;0),"",I5*(1-B6)/(B8+1)*B5)</f>
        <v/>
      </c>
      <c r="AB15" s="56" t="str">
        <f>IF(OR(NOT(I5),(COLUMN()-3)-(B7+7)&lt;0,(B7+7+B8) - (COLUMN()-2) &lt;0),"",I5*(1-B6)/(B8+1)*B5)</f>
        <v/>
      </c>
      <c r="AC15" s="56" t="str">
        <f>IF(OR(NOT(I5),(COLUMN()-3)-(B7+7)&lt;0,(B7+7+B8) - (COLUMN()-2) &lt;0),"",I5*(1-B6)/(B8+1)*B5)</f>
        <v/>
      </c>
      <c r="AD15" s="56" t="str">
        <f>IF(OR(NOT(I5),(COLUMN()-3)-(B7+7)&lt;0,(B7+7+B8) - (COLUMN()-2) &lt;0),"",I5*(1-B6)/(B8+1)*B5)</f>
        <v/>
      </c>
      <c r="AE15" s="56" t="str">
        <f>IF(OR(NOT(I5),(COLUMN()-3)-(B7+7)&lt;0,(B7+7+B8) - (COLUMN()-2) &lt;0),"",I5*(1-B6)/(B8+1)*B5)</f>
        <v/>
      </c>
      <c r="AF15" s="91"/>
      <c r="AG15" s="91"/>
      <c r="AH15" s="91"/>
      <c r="AI15" s="91"/>
      <c r="AJ15" s="91"/>
      <c r="AV15" s="1">
        <f t="shared" si="3"/>
        <v>0</v>
      </c>
    </row>
    <row r="16" spans="1:48" hidden="1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50" t="str">
        <f>IF(OR(NOT(J5),(COLUMN()-3)-(B7+8)&lt;0,(B7+8+B8) - (COLUMN()-2) &lt;0),"",J5*(1-B6)/(B8+1)*B5)</f>
        <v/>
      </c>
      <c r="L16" s="50" t="str">
        <f>IF(OR(NOT(J5),(COLUMN()-3)-(B7+8)&lt;0,(B7+8+B8) - (COLUMN()-2) &lt;0),"",J5*(1-B6)/(B8+1)*B5)</f>
        <v/>
      </c>
      <c r="M16" s="50" t="str">
        <f>IF(OR(NOT(J5),(COLUMN()-3)-(B7+8)&lt;0,(B7+8+B8) - (COLUMN()-2) &lt;0),"",J5*(1-B6)/(B8+1)*B5)</f>
        <v/>
      </c>
      <c r="N16" s="50" t="str">
        <f>IF(OR(NOT(J5),(COLUMN()-3)-(B7+8)&lt;0,(B7+8+B8) - (COLUMN()-2) &lt;0),"",J5*(1-B6)/(B8+1)*B5)</f>
        <v/>
      </c>
      <c r="O16" s="55" t="str">
        <f>IF(OR(NOT(J5),(COLUMN()-3)-(B7+8)&lt;0,(B7+8+B8) - (COLUMN()-2) &lt;0),"",J5*(1-B6)/(B8+1)*B5)</f>
        <v/>
      </c>
      <c r="P16" s="55" t="str">
        <f>IF(OR(NOT(J5),(COLUMN()-3)-(B7+8)&lt;0,(B7+8+B8) - (COLUMN()-2) &lt;0),"",J5*(1-B6)/(B8+1)*B5)</f>
        <v/>
      </c>
      <c r="Q16" s="55" t="str">
        <f>IF(OR(NOT(J5),(COLUMN()-3)-(B7+8)&lt;0,(B7+8+B8) - (COLUMN()-2) &lt;0),"",J5*(1-B6)/(B8+1)*B5)</f>
        <v/>
      </c>
      <c r="R16" s="55" t="str">
        <f>IF(OR(NOT(J5),(COLUMN()-3)-(B7+8)&lt;0,(B7+8+B8) - (COLUMN()-2) &lt;0),"",J5*(1-B6)/(B8+1)*B5)</f>
        <v/>
      </c>
      <c r="S16" s="55" t="str">
        <f>IF(OR(NOT(J5),(COLUMN()-3)-(B7+8)&lt;0,(B7+8+B8) - (COLUMN()-2) &lt;0),"",J5*(1-B6)/(B8+1)*B5)</f>
        <v/>
      </c>
      <c r="T16" s="55" t="str">
        <f>IF(OR(NOT(J5),(COLUMN()-3)-(B7+8)&lt;0,(B7+8+B8) - (COLUMN()-2) &lt;0),"",J5*(1-B6)/(B8+1)*B5)</f>
        <v/>
      </c>
      <c r="U16" s="55" t="str">
        <f>IF(OR(NOT(J5),(COLUMN()-3)-(B7+8)&lt;0,(B7+8+B8) - (COLUMN()-2) &lt;0),"",J5*(1-B6)/(B8+1)*B5)</f>
        <v/>
      </c>
      <c r="V16" s="55" t="str">
        <f>IF(OR(NOT(J5),(COLUMN()-3)-(B7+8)&lt;0,(B7+8+B8) - (COLUMN()-2) &lt;0),"",J5*(1-B6)/(B8+1)*B5)</f>
        <v/>
      </c>
      <c r="W16" s="55" t="str">
        <f>IF(OR(NOT(J5),(COLUMN()-3)-(B7+8)&lt;0,(B7+8+B8) - (COLUMN()-2) &lt;0),"",J5*(1-B6)/(B8+1)*B5)</f>
        <v/>
      </c>
      <c r="X16" s="55" t="str">
        <f>IF(OR(NOT(J5),(COLUMN()-3)-(B7+8)&lt;0,(B7+8+B8) - (COLUMN()-2) &lt;0),"",J5*(1-B6)/(B8+1)*B5)</f>
        <v/>
      </c>
      <c r="Y16" s="55" t="str">
        <f>IF(OR(NOT(J5),(COLUMN()-3)-(B7+8)&lt;0,(B7+8+B8) - (COLUMN()-2) &lt;0),"",J5*(1-B6)/(B8+1)*B5)</f>
        <v/>
      </c>
      <c r="Z16" s="55" t="str">
        <f>IF(OR(NOT(J5),(COLUMN()-3)-(B7+8)&lt;0,(B7+8+B8) - (COLUMN()-2) &lt;0),"",J5*(1-B6)/(B8+1)*B5)</f>
        <v/>
      </c>
      <c r="AA16" s="56" t="str">
        <f>IF(OR(NOT(J5),(COLUMN()-3)-(B7+8)&lt;0,(B7+8+B8) - (COLUMN()-2) &lt;0),"",J5*(1-B6)/(B8+1)*B5)</f>
        <v/>
      </c>
      <c r="AB16" s="56" t="str">
        <f>IF(OR(NOT(J5),(COLUMN()-3)-(B7+8)&lt;0,(B7+8+B8) - (COLUMN()-2) &lt;0),"",J5*(1-B6)/(B8+1)*B5)</f>
        <v/>
      </c>
      <c r="AC16" s="56" t="str">
        <f>IF(OR(NOT(J5),(COLUMN()-3)-(B7+8)&lt;0,(B7+8+B8) - (COLUMN()-2) &lt;0),"",J5*(1-B6)/(B8+1)*B5)</f>
        <v/>
      </c>
      <c r="AD16" s="56" t="str">
        <f>IF(OR(NOT(J5),(COLUMN()-3)-(B7+8)&lt;0,(B7+8+B8) - (COLUMN()-2) &lt;0),"",J5*(1-B6)/(B8+1)*B5)</f>
        <v/>
      </c>
      <c r="AE16" s="56" t="str">
        <f>IF(OR(NOT(J5),(COLUMN()-3)-(B7+8)&lt;0,(B7+8+B8) - (COLUMN()-2) &lt;0),"",J5*(1-B6)/(B8+1)*B5)</f>
        <v/>
      </c>
      <c r="AF16" s="56" t="str">
        <f>IF(OR(NOT(J5),(COLUMN()-3)-(B7+8)&lt;0,(B7+8+B8) - (COLUMN()-2) &lt;0),"",J5*(1-B6)/(B8+1)*B5)</f>
        <v/>
      </c>
      <c r="AG16" s="91"/>
      <c r="AH16" s="91"/>
      <c r="AI16" s="91"/>
      <c r="AJ16" s="91"/>
      <c r="AV16" s="1">
        <f t="shared" si="3"/>
        <v>0</v>
      </c>
    </row>
    <row r="17" spans="1:48" hidden="1">
      <c r="A17" s="91"/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50" t="str">
        <f>IF(OR(NOT(K5),(COLUMN()-3)-(B7+9)&lt;0,(B7+9+B8) - (COLUMN()-2) &lt;0),"",K5*(1-B6)/(B8+1)*B5)</f>
        <v/>
      </c>
      <c r="M17" s="50" t="str">
        <f>IF(OR(NOT(K5),(COLUMN()-3)-(B7+9)&lt;0,(B7+9+B8) - (COLUMN()-2) &lt;0),"",K5*(1-B6)/(B8+1)*B5)</f>
        <v/>
      </c>
      <c r="N17" s="50" t="str">
        <f>IF(OR(NOT(K5),(COLUMN()-3)-(B7+9)&lt;0,(B7+9+B8) - (COLUMN()-2) &lt;0),"",K5*(1-B6)/(B8+1)*B5)</f>
        <v/>
      </c>
      <c r="O17" s="55" t="str">
        <f>IF(OR(NOT(K5),(COLUMN()-3)-(B7+9)&lt;0,(B7+9+B8) - (COLUMN()-2) &lt;0),"",K5*(1-B6)/(B8+1)*B5)</f>
        <v/>
      </c>
      <c r="P17" s="55" t="str">
        <f>IF(OR(NOT(K5),(COLUMN()-3)-(B7+9)&lt;0,(B7+9+B8) - (COLUMN()-2) &lt;0),"",K5*(1-B6)/(B8+1)*B5)</f>
        <v/>
      </c>
      <c r="Q17" s="55" t="str">
        <f>IF(OR(NOT(K5),(COLUMN()-3)-(B7+9)&lt;0,(B7+9+B8) - (COLUMN()-2) &lt;0),"",K5*(1-B6)/(B8+1)*B5)</f>
        <v/>
      </c>
      <c r="R17" s="55" t="str">
        <f>IF(OR(NOT(K5),(COLUMN()-3)-(B7+9)&lt;0,(B7+9+B8) - (COLUMN()-2) &lt;0),"",K5*(1-B6)/(B8+1)*B5)</f>
        <v/>
      </c>
      <c r="S17" s="55" t="str">
        <f>IF(OR(NOT(K5),(COLUMN()-3)-(B7+9)&lt;0,(B7+9+B8) - (COLUMN()-2) &lt;0),"",K5*(1-B6)/(B8+1)*B5)</f>
        <v/>
      </c>
      <c r="T17" s="55" t="str">
        <f>IF(OR(NOT(K5),(COLUMN()-3)-(B7+9)&lt;0,(B7+9+B8) - (COLUMN()-2) &lt;0),"",K5*(1-B6)/(B8+1)*B5)</f>
        <v/>
      </c>
      <c r="U17" s="55" t="str">
        <f>IF(OR(NOT(K5),(COLUMN()-3)-(B7+9)&lt;0,(B7+9+B8) - (COLUMN()-2) &lt;0),"",K5*(1-B6)/(B8+1)*B5)</f>
        <v/>
      </c>
      <c r="V17" s="55" t="str">
        <f>IF(OR(NOT(K5),(COLUMN()-3)-(B7+9)&lt;0,(B7+9+B8) - (COLUMN()-2) &lt;0),"",K5*(1-B6)/(B8+1)*B5)</f>
        <v/>
      </c>
      <c r="W17" s="55" t="str">
        <f>IF(OR(NOT(K5),(COLUMN()-3)-(B7+9)&lt;0,(B7+9+B8) - (COLUMN()-2) &lt;0),"",K5*(1-B6)/(B8+1)*B5)</f>
        <v/>
      </c>
      <c r="X17" s="55" t="str">
        <f>IF(OR(NOT(K5),(COLUMN()-3)-(B7+9)&lt;0,(B7+9+B8) - (COLUMN()-2) &lt;0),"",K5*(1-B6)/(B8+1)*B5)</f>
        <v/>
      </c>
      <c r="Y17" s="55" t="str">
        <f>IF(OR(NOT(K5),(COLUMN()-3)-(B7+9)&lt;0,(B7+9+B8) - (COLUMN()-2) &lt;0),"",K5*(1-B6)/(B8+1)*B5)</f>
        <v/>
      </c>
      <c r="Z17" s="55" t="str">
        <f>IF(OR(NOT(K5),(COLUMN()-3)-(B7+9)&lt;0,(B7+9+B8) - (COLUMN()-2) &lt;0),"",K5*(1-B6)/(B8+1)*B5)</f>
        <v/>
      </c>
      <c r="AA17" s="56" t="str">
        <f>IF(OR(NOT(K5),(COLUMN()-3)-(B7+9)&lt;0,(B7+9+B8) - (COLUMN()-2) &lt;0),"",K5*(1-B6)/(B8+1)*B5)</f>
        <v/>
      </c>
      <c r="AB17" s="56" t="str">
        <f>IF(OR(NOT(K5),(COLUMN()-3)-(B7+9)&lt;0,(B7+9+B8) - (COLUMN()-2) &lt;0),"",K5*(1-B6)/(B8+1)*B5)</f>
        <v/>
      </c>
      <c r="AC17" s="56" t="str">
        <f>IF(OR(NOT(K5),(COLUMN()-3)-(B7+9)&lt;0,(B7+9+B8) - (COLUMN()-2) &lt;0),"",K5*(1-B6)/(B8+1)*B5)</f>
        <v/>
      </c>
      <c r="AD17" s="56" t="str">
        <f>IF(OR(NOT(K5),(COLUMN()-3)-(B7+9)&lt;0,(B7+9+B8) - (COLUMN()-2) &lt;0),"",K5*(1-B6)/(B8+1)*B5)</f>
        <v/>
      </c>
      <c r="AE17" s="56" t="str">
        <f>IF(OR(NOT(K5),(COLUMN()-3)-(B7+9)&lt;0,(B7+9+B8) - (COLUMN()-2) &lt;0),"",K5*(1-B6)/(B8+1)*B5)</f>
        <v/>
      </c>
      <c r="AF17" s="56" t="str">
        <f>IF(OR(NOT(K5),(COLUMN()-3)-(B7+9)&lt;0,(B7+9+B8) - (COLUMN()-2) &lt;0),"",K5*(1-B6)/(B8+1)*B5)</f>
        <v/>
      </c>
      <c r="AG17" s="56" t="str">
        <f>IF(OR(NOT(K5),(COLUMN()-3)-(B7+9)&lt;0,(B7+9+B8) - (COLUMN()-2) &lt;0),"",K5*(1-B6)/(B8+1)*B5)</f>
        <v/>
      </c>
      <c r="AH17" s="91"/>
      <c r="AI17" s="91"/>
      <c r="AJ17" s="91"/>
      <c r="AV17" s="1">
        <f t="shared" si="3"/>
        <v>0</v>
      </c>
    </row>
    <row r="18" spans="1:48" hidden="1">
      <c r="A18" s="91"/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50">
        <f>IF(OR(NOT(L5),(COLUMN()-3)-(B7+10)&lt;0,(B7+10+B8) - (COLUMN()-2) &lt;0),"",L5*(1-B6)/(B8+1)*B5)</f>
        <v>799.80000000000007</v>
      </c>
      <c r="N18" s="50">
        <f>IF(OR(NOT(L5),(COLUMN()-3)-(B7+10)&lt;0,(B7+10+B8) - (COLUMN()-2) &lt;0),"",L5*(1-B6)/(B8+1)*B5)</f>
        <v>799.80000000000007</v>
      </c>
      <c r="O18" s="55">
        <f>IF(OR(NOT(L5),(COLUMN()-3)-(B7+10)&lt;0,(B7+10+B8) - (COLUMN()-2) &lt;0),"",L5*(1-B6)/(B8+1)*B5)</f>
        <v>799.80000000000007</v>
      </c>
      <c r="P18" s="55" t="str">
        <f>IF(OR(NOT(L5),(COLUMN()-3)-(B7+10)&lt;0,(B7+10+B8) - (COLUMN()-2) &lt;0),"",L5*(1-B6)/(B8+1)*B5)</f>
        <v/>
      </c>
      <c r="Q18" s="55" t="str">
        <f>IF(OR(NOT(L5),(COLUMN()-3)-(B7+10)&lt;0,(B7+10+B8) - (COLUMN()-2) &lt;0),"",L5*(1-B6)/(B8+1)*B5)</f>
        <v/>
      </c>
      <c r="R18" s="55" t="str">
        <f>IF(OR(NOT(L5),(COLUMN()-3)-(B7+10)&lt;0,(B7+10+B8) - (COLUMN()-2) &lt;0),"",L5*(1-B6)/(B8+1)*B5)</f>
        <v/>
      </c>
      <c r="S18" s="55" t="str">
        <f>IF(OR(NOT(L5),(COLUMN()-3)-(B7+10)&lt;0,(B7+10+B8) - (COLUMN()-2) &lt;0),"",L5*(1-B6)/(B8+1)*B5)</f>
        <v/>
      </c>
      <c r="T18" s="55" t="str">
        <f>IF(OR(NOT(L5),(COLUMN()-3)-(B7+10)&lt;0,(B7+10+B8) - (COLUMN()-2) &lt;0),"",L5*(1-B6)/(B8+1)*B5)</f>
        <v/>
      </c>
      <c r="U18" s="55" t="str">
        <f>IF(OR(NOT(L5),(COLUMN()-3)-(B7+10)&lt;0,(B7+10+B8) - (COLUMN()-2) &lt;0),"",L5*(1-B6)/(B8+1)*B5)</f>
        <v/>
      </c>
      <c r="V18" s="55" t="str">
        <f>IF(OR(NOT(L5),(COLUMN()-3)-(B7+10)&lt;0,(B7+10+B8) - (COLUMN()-2) &lt;0),"",L5*(1-B6)/(B8+1)*B5)</f>
        <v/>
      </c>
      <c r="W18" s="55" t="str">
        <f>IF(OR(NOT(L5),(COLUMN()-3)-(B7+10)&lt;0,(B7+10+B8) - (COLUMN()-2) &lt;0),"",L5*(1-B6)/(B8+1)*B5)</f>
        <v/>
      </c>
      <c r="X18" s="55" t="str">
        <f>IF(OR(NOT(L5),(COLUMN()-3)-(B7+10)&lt;0,(B7+10+B8) - (COLUMN()-2) &lt;0),"",L5*(1-B6)/(B8+1)*B5)</f>
        <v/>
      </c>
      <c r="Y18" s="55" t="str">
        <f>IF(OR(NOT(L5),(COLUMN()-3)-(B7+10)&lt;0,(B7+10+B8) - (COLUMN()-2) &lt;0),"",L5*(1-B6)/(B8+1)*B5)</f>
        <v/>
      </c>
      <c r="Z18" s="55" t="str">
        <f>IF(OR(NOT(L5),(COLUMN()-3)-(B7+10)&lt;0,(B7+10+B8) - (COLUMN()-2) &lt;0),"",L5*(1-B6)/(B8+1)*B5)</f>
        <v/>
      </c>
      <c r="AA18" s="56" t="str">
        <f>IF(OR(NOT(L5),(COLUMN()-3)-(B7+10)&lt;0,(B7+10+B8) - (COLUMN()-2) &lt;0),"",L5*(1-B6)/(B8+1)*B5)</f>
        <v/>
      </c>
      <c r="AB18" s="56" t="str">
        <f>IF(OR(NOT(L5),(COLUMN()-3)-(B7+10)&lt;0,(B7+10+B8) - (COLUMN()-2) &lt;0),"",L5*(1-B6)/(B8+1)*B5)</f>
        <v/>
      </c>
      <c r="AC18" s="56" t="str">
        <f>IF(OR(NOT(L5),(COLUMN()-3)-(B7+10)&lt;0,(B7+10+B8) - (COLUMN()-2) &lt;0),"",L5*(1-B6)/(B8+1)*B5)</f>
        <v/>
      </c>
      <c r="AD18" s="56" t="str">
        <f>IF(OR(NOT(L5),(COLUMN()-3)-(B7+10)&lt;0,(B7+10+B8) - (COLUMN()-2) &lt;0),"",L5*(1-B6)/(B8+1)*B5)</f>
        <v/>
      </c>
      <c r="AE18" s="56" t="str">
        <f>IF(OR(NOT(L5),(COLUMN()-3)-(B7+10)&lt;0,(B7+10+B8) - (COLUMN()-2) &lt;0),"",L5*(1-B6)/(B8+1)*B5)</f>
        <v/>
      </c>
      <c r="AF18" s="56" t="str">
        <f>IF(OR(NOT(L5),(COLUMN()-3)-(B7+10)&lt;0,(B7+10+B8) - (COLUMN()-2) &lt;0),"",L5*(1-B6)/(B8+1)*B5)</f>
        <v/>
      </c>
      <c r="AG18" s="56" t="str">
        <f>IF(OR(NOT(L5),(COLUMN()-3)-(B7+10)&lt;0,(B7+10+B8) - (COLUMN()-2) &lt;0),"",L5*(1-B6)/(B8+1)*B5)</f>
        <v/>
      </c>
      <c r="AH18" s="56" t="str">
        <f>IF(OR(NOT(L5),(COLUMN()-3)-(B7+10)&lt;0,(B7+10+B8) - (COLUMN()-2) &lt;0),"",L5*(1-B6)/(B8+1)*B5)</f>
        <v/>
      </c>
      <c r="AI18" s="91"/>
      <c r="AJ18" s="91"/>
      <c r="AV18" s="1">
        <f t="shared" si="3"/>
        <v>2399.4</v>
      </c>
    </row>
    <row r="19" spans="1:48" hidden="1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50">
        <f>IF(OR(NOT(M5),(COLUMN()-3)-(B7+11)&lt;0,(B7+11+B8) - (COLUMN()-2) &lt;0),"",M5*(1-B6)/(B8+1)*B5)</f>
        <v>799.80000000000007</v>
      </c>
      <c r="O19" s="55">
        <f>IF(OR(NOT(M5),(COLUMN()-3)-(B7+11)&lt;0,(B7+11+B8) - (COLUMN()-2) &lt;0),"",M5*(1-B6)/(B8+1)*B5)</f>
        <v>799.80000000000007</v>
      </c>
      <c r="P19" s="55">
        <f>IF(OR(NOT(M5),(COLUMN()-3)-(B7+11)&lt;0,(B7+11+B8) - (COLUMN()-2) &lt;0),"",M5*(1-B6)/(B8+1)*B5)</f>
        <v>799.80000000000007</v>
      </c>
      <c r="Q19" s="55" t="str">
        <f>IF(OR(NOT(M5),(COLUMN()-3)-(B7+11)&lt;0,(B7+11+B8) - (COLUMN()-2) &lt;0),"",M5*(1-B6)/(B8+1)*B5)</f>
        <v/>
      </c>
      <c r="R19" s="55" t="str">
        <f>IF(OR(NOT(M5),(COLUMN()-3)-(B7+11)&lt;0,(B7+11+B8) - (COLUMN()-2) &lt;0),"",M5*(1-B6)/(B8+1)*B5)</f>
        <v/>
      </c>
      <c r="S19" s="55" t="str">
        <f>IF(OR(NOT(M5),(COLUMN()-3)-(B7+11)&lt;0,(B7+11+B8) - (COLUMN()-2) &lt;0),"",M5*(1-B6)/(B8+1)*B5)</f>
        <v/>
      </c>
      <c r="T19" s="55" t="str">
        <f>IF(OR(NOT(M5),(COLUMN()-3)-(B7+11)&lt;0,(B7+11+B8) - (COLUMN()-2) &lt;0),"",M5*(1-B6)/(B8+1)*B5)</f>
        <v/>
      </c>
      <c r="U19" s="55" t="str">
        <f>IF(OR(NOT(M5),(COLUMN()-3)-(B7+11)&lt;0,(B7+11+B8) - (COLUMN()-2) &lt;0),"",M5*(1-B6)/(B8+1)*B5)</f>
        <v/>
      </c>
      <c r="V19" s="55" t="str">
        <f>IF(OR(NOT(M5),(COLUMN()-3)-(B7+11)&lt;0,(B7+11+B8) - (COLUMN()-2) &lt;0),"",M5*(1-B6)/(B8+1)*B5)</f>
        <v/>
      </c>
      <c r="W19" s="55" t="str">
        <f>IF(OR(NOT(M5),(COLUMN()-3)-(B7+11)&lt;0,(B7+11+B8) - (COLUMN()-2) &lt;0),"",M5*(1-B6)/(B8+1)*B5)</f>
        <v/>
      </c>
      <c r="X19" s="55" t="str">
        <f>IF(OR(NOT(M5),(COLUMN()-3)-(B7+11)&lt;0,(B7+11+B8) - (COLUMN()-2) &lt;0),"",M5*(1-B6)/(B8+1)*B5)</f>
        <v/>
      </c>
      <c r="Y19" s="55" t="str">
        <f>IF(OR(NOT(M5),(COLUMN()-3)-(B7+11)&lt;0,(B7+11+B8) - (COLUMN()-2) &lt;0),"",M5*(1-B6)/(B8+1)*B5)</f>
        <v/>
      </c>
      <c r="Z19" s="55" t="str">
        <f>IF(OR(NOT(M5),(COLUMN()-3)-(B7+11)&lt;0,(B7+11+B8) - (COLUMN()-2) &lt;0),"",M5*(1-B6)/(B8+1)*B5)</f>
        <v/>
      </c>
      <c r="AA19" s="56" t="str">
        <f>IF(OR(NOT(M5),(COLUMN()-3)-(B7+11)&lt;0,(B7+11+B8) - (COLUMN()-2) &lt;0),"",M5*(1-B6)/(B8+1)*B5)</f>
        <v/>
      </c>
      <c r="AB19" s="56" t="str">
        <f>IF(OR(NOT(M5),(COLUMN()-3)-(B7+11)&lt;0,(B7+11+B8) - (COLUMN()-2) &lt;0),"",M5*(1-B6)/(B8+1)*B5)</f>
        <v/>
      </c>
      <c r="AC19" s="56" t="str">
        <f>IF(OR(NOT(M5),(COLUMN()-3)-(B7+11)&lt;0,(B7+11+B8) - (COLUMN()-2) &lt;0),"",M5*(1-B6)/(B8+1)*B5)</f>
        <v/>
      </c>
      <c r="AD19" s="56" t="str">
        <f>IF(OR(NOT(M5),(COLUMN()-3)-(B7+11)&lt;0,(B7+11+B8) - (COLUMN()-2) &lt;0),"",M5*(1-B6)/(B8+1)*B5)</f>
        <v/>
      </c>
      <c r="AE19" s="56" t="str">
        <f>IF(OR(NOT(M5),(COLUMN()-3)-(B7+11)&lt;0,(B7+11+B8) - (COLUMN()-2) &lt;0),"",M5*(1-B6)/(B8+1)*B5)</f>
        <v/>
      </c>
      <c r="AF19" s="56" t="str">
        <f>IF(OR(NOT(M5),(COLUMN()-3)-(B7+11)&lt;0,(B7+11+B8) - (COLUMN()-2) &lt;0),"",M5*(1-B6)/(B8+1)*B5)</f>
        <v/>
      </c>
      <c r="AG19" s="56" t="str">
        <f>IF(OR(NOT(M5),(COLUMN()-3)-(B7+11)&lt;0,(B7+11+B8) - (COLUMN()-2) &lt;0),"",M5*(1-B6)/(B8+1)*B5)</f>
        <v/>
      </c>
      <c r="AH19" s="56" t="str">
        <f>IF(OR(NOT(M5),(COLUMN()-3)-(B7+11)&lt;0,(B7+11+B8) - (COLUMN()-2) &lt;0),"",M5*(1-B6)/(B8+1)*B5)</f>
        <v/>
      </c>
      <c r="AI19" s="56" t="str">
        <f>IF(OR(NOT(M5),(COLUMN()-3)-(B7+11)&lt;0,(B7+11+B8) - (COLUMN()-2) &lt;0),"",M5*(1-B6)/(B8+1)*B5)</f>
        <v/>
      </c>
      <c r="AJ19" s="91"/>
      <c r="AV19" s="1">
        <f t="shared" si="3"/>
        <v>2399.4</v>
      </c>
    </row>
    <row r="20" spans="1:48" hidden="1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55">
        <f>IF(OR(NOT(N5),(COLUMN()-3)-(B7+12)&lt;0,(B7+12+B8) - (COLUMN()-2) &lt;0),"",N5*(1-B6)/(B8+1)*B5)</f>
        <v>799.80000000000007</v>
      </c>
      <c r="P20" s="55">
        <f>IF(OR(NOT(N5),(COLUMN()-3)-(B7+12)&lt;0,(B7+12+B8) - (COLUMN()-2) &lt;0),"",N5*(1-B6)/(B8+1)*B5)</f>
        <v>799.80000000000007</v>
      </c>
      <c r="Q20" s="55">
        <f>IF(OR(NOT(N5),(COLUMN()-3)-(B7+12)&lt;0,(B7+12+B8) - (COLUMN()-2) &lt;0),"",N5*(1-B6)/(B8+1)*B5)</f>
        <v>799.80000000000007</v>
      </c>
      <c r="R20" s="55" t="str">
        <f>IF(OR(NOT(N5),(COLUMN()-3)-(B7+12)&lt;0,(B7+12+B8) - (COLUMN()-2) &lt;0),"",N5*(1-B6)/(B8+1)*B5)</f>
        <v/>
      </c>
      <c r="S20" s="55" t="str">
        <f>IF(OR(NOT(N5),(COLUMN()-3)-(B7+12)&lt;0,(B7+12+B8) - (COLUMN()-2) &lt;0),"",N5*(1-B6)/(B8+1)*B5)</f>
        <v/>
      </c>
      <c r="T20" s="55" t="str">
        <f>IF(OR(NOT(N5),(COLUMN()-3)-(B7+12)&lt;0,(B7+12+B8) - (COLUMN()-2) &lt;0),"",N5*(1-B6)/(B8+1)*B5)</f>
        <v/>
      </c>
      <c r="U20" s="55" t="str">
        <f>IF(OR(NOT(N5),(COLUMN()-3)-(B7+12)&lt;0,(B7+12+B8) - (COLUMN()-2) &lt;0),"",N5*(1-B6)/(B8+1)*B5)</f>
        <v/>
      </c>
      <c r="V20" s="55" t="str">
        <f>IF(OR(NOT(N5),(COLUMN()-3)-(B7+12)&lt;0,(B7+12+B8) - (COLUMN()-2) &lt;0),"",N5*(1-B6)/(B8+1)*B5)</f>
        <v/>
      </c>
      <c r="W20" s="55" t="str">
        <f>IF(OR(NOT(N5),(COLUMN()-3)-(B7+12)&lt;0,(B7+12+B8) - (COLUMN()-2) &lt;0),"",N5*(1-B6)/(B8+1)*B5)</f>
        <v/>
      </c>
      <c r="X20" s="55" t="str">
        <f>IF(OR(NOT(N5),(COLUMN()-3)-(B7+12)&lt;0,(B7+12+B8) - (COLUMN()-2) &lt;0),"",N5*(1-B6)/(B8+1)*B5)</f>
        <v/>
      </c>
      <c r="Y20" s="55" t="str">
        <f>IF(OR(NOT(N5),(COLUMN()-3)-(B7+12)&lt;0,(B7+12+B8) - (COLUMN()-2) &lt;0),"",N5*(1-B6)/(B8+1)*B5)</f>
        <v/>
      </c>
      <c r="Z20" s="55" t="str">
        <f>IF(OR(NOT(N5),(COLUMN()-3)-(B7+12)&lt;0,(B7+12+B8) - (COLUMN()-2) &lt;0),"",N5*(1-B6)/(B8+1)*B5)</f>
        <v/>
      </c>
      <c r="AA20" s="56" t="str">
        <f>IF(OR(NOT(N5),(COLUMN()-3)-(B7+12)&lt;0,(B7+12+B8) - (COLUMN()-2) &lt;0),"",N5*(1-B6)/(B8+1)*B5)</f>
        <v/>
      </c>
      <c r="AB20" s="56" t="str">
        <f>IF(OR(NOT(N5),(COLUMN()-3)-(B7+12)&lt;0,(B7+12+B8) - (COLUMN()-2) &lt;0),"",N5*(1-B6)/(B8+1)*B5)</f>
        <v/>
      </c>
      <c r="AC20" s="56" t="str">
        <f>IF(OR(NOT(N5),(COLUMN()-3)-(B7+12)&lt;0,(B7+12+B8) - (COLUMN()-2) &lt;0),"",N5*(1-B6)/(B8+1)*B5)</f>
        <v/>
      </c>
      <c r="AD20" s="56" t="str">
        <f>IF(OR(NOT(N5),(COLUMN()-3)-(B7+12)&lt;0,(B7+12+B8) - (COLUMN()-2) &lt;0),"",N5*(1-B6)/(B8+1)*B5)</f>
        <v/>
      </c>
      <c r="AE20" s="56" t="str">
        <f>IF(OR(NOT(N5),(COLUMN()-3)-(B7+12)&lt;0,(B7+12+B8) - (COLUMN()-2) &lt;0),"",N5*(1-B6)/(B8+1)*B5)</f>
        <v/>
      </c>
      <c r="AF20" s="56" t="str">
        <f>IF(OR(NOT(N5),(COLUMN()-3)-(B7+12)&lt;0,(B7+12+B8) - (COLUMN()-2) &lt;0),"",N5*(1-B6)/(B8+1)*B5)</f>
        <v/>
      </c>
      <c r="AG20" s="56" t="str">
        <f>IF(OR(NOT(N5),(COLUMN()-3)-(B7+12)&lt;0,(B7+12+B8) - (COLUMN()-2) &lt;0),"",N5*(1-B6)/(B8+1)*B5)</f>
        <v/>
      </c>
      <c r="AH20" s="56" t="str">
        <f>IF(OR(NOT(N5),(COLUMN()-3)-(B7+12)&lt;0,(B7+12+B8) - (COLUMN()-2) &lt;0),"",N5*(1-B6)/(B8+1)*B5)</f>
        <v/>
      </c>
      <c r="AI20" s="56" t="str">
        <f>IF(OR(NOT(N5),(COLUMN()-3)-(B7+12)&lt;0,(B7+12+B8) - (COLUMN()-2) &lt;0),"",N5*(1-B6)/(B8+1)*B5)</f>
        <v/>
      </c>
      <c r="AJ20" s="56" t="str">
        <f>IF(OR(NOT(N5),(COLUMN()-3)-(B7+12)&lt;0,(B7+12+B8) - (COLUMN()-2) &lt;0),"",N5*(1-B6)/(B8+1)*B5)</f>
        <v/>
      </c>
    </row>
    <row r="21" spans="1:48">
      <c r="A21" s="90" t="s">
        <v>85</v>
      </c>
      <c r="B21" s="52"/>
      <c r="C21" s="92" t="str">
        <f>IF(-SUM(C6:C7)*B21,-SUM(C6:C7)*B21,"")</f>
        <v/>
      </c>
      <c r="D21" s="92" t="str">
        <f>IF(-SUM(D6:D8)*B21,-SUM(D6:D8)*B21,"")</f>
        <v/>
      </c>
      <c r="E21" s="92" t="str">
        <f>IF(-SUM(E6:E8)*B21,-SUM(E6:E8)*B21,"")</f>
        <v/>
      </c>
      <c r="F21" s="92" t="str">
        <f>IF(-SUM(F6:F8)*B21,-SUM(F6:F8)*B21,"")</f>
        <v/>
      </c>
      <c r="G21" s="92" t="str">
        <f>IF(-SUM(G6:G8)*B21,-SUM(G6:G8)*B21,"")</f>
        <v/>
      </c>
      <c r="H21" s="92" t="str">
        <f>IF(-SUM(H6:H8)*B21,-SUM(H6:H8)*B21,"")</f>
        <v/>
      </c>
      <c r="I21" s="92" t="str">
        <f>IF(-SUM(I6:I8)*B21,-SUM(I6:I8)*B21,"")</f>
        <v/>
      </c>
      <c r="J21" s="92" t="str">
        <f>IF(-SUM(J6:J8)*B21,-SUM(J6:J8)*B21,"")</f>
        <v/>
      </c>
      <c r="K21" s="92" t="str">
        <f>IF(-SUM(K6:K8)*B21,-SUM(K6:K8)*B21,"")</f>
        <v/>
      </c>
      <c r="L21" s="92" t="str">
        <f>IF(-SUM(L6:L8)*B21,-SUM(L6:L8)*B21,"")</f>
        <v/>
      </c>
      <c r="M21" s="92" t="str">
        <f>IF(-SUM(M6:M8)*B21,-SUM(M6:M8)*B21,"")</f>
        <v/>
      </c>
      <c r="N21" s="92" t="str">
        <f>IF(-SUM(N6:N8)*B21,-SUM(N6:N8)*B21,"")</f>
        <v/>
      </c>
      <c r="O21" s="92" t="str">
        <f>IF(-SUM(O7:O8)*B21,-SUM(O7:O8)*B21,"")</f>
        <v/>
      </c>
      <c r="P21" s="92" t="str">
        <f>IF(-SUM(P7:P8)*B21,-SUM(P7:P8)*B21,"")</f>
        <v/>
      </c>
      <c r="Q21" s="92" t="str">
        <f>IF(-SUM(Q7:Q8)*B21,-SUM(Q7:Q8)*B21,"")</f>
        <v/>
      </c>
      <c r="R21" s="92" t="str">
        <f>IF(-SUM(R7:R8)*B21,-SUM(R7:R8)*B21,"")</f>
        <v/>
      </c>
      <c r="S21" s="92" t="str">
        <f>IF(-SUM(S7:S8)*B21,-SUM(S7:S8)*B21,"")</f>
        <v/>
      </c>
      <c r="T21" s="92" t="str">
        <f>IF(-SUM(T7:T8)*B21,-SUM(T7:T8)*B21,"")</f>
        <v/>
      </c>
      <c r="U21" s="92" t="str">
        <f>IF(-SUM(U7:U8)*B21,-SUM(U7:U8)*B21,"")</f>
        <v/>
      </c>
      <c r="V21" s="92" t="str">
        <f>IF(-SUM(V7:V8)*B21,-SUM(V7:V8)*B21,"")</f>
        <v/>
      </c>
      <c r="W21" s="92" t="str">
        <f>IF(-SUM(W7:W8)*B21,-SUM(W7:W8)*B21,"")</f>
        <v/>
      </c>
      <c r="X21" s="92" t="str">
        <f>IF(-SUM(X7:X8)*B21,-SUM(X7:X8)*B21,"")</f>
        <v/>
      </c>
      <c r="Y21" s="92" t="str">
        <f>IF(-SUM(Y7:Y8)*B21,-SUM(Y7:Y8)*B21,"")</f>
        <v/>
      </c>
      <c r="Z21" s="92" t="str">
        <f>IF(-SUM(Z8)*B21,-Z8*B21,"")</f>
        <v/>
      </c>
      <c r="AA21" s="92" t="str">
        <f>IF(-SUM(AA8),-AA8*B21,"")</f>
        <v/>
      </c>
      <c r="AB21" s="92" t="str">
        <f>IF(-SUM(AB8)*B21,-AB8*B21,"")</f>
        <v/>
      </c>
      <c r="AC21" s="92" t="str">
        <f>IF(-SUM(AC8)*B21,-AC8*B21,"")</f>
        <v/>
      </c>
      <c r="AD21" s="92" t="str">
        <f>IF(-SUM(AD8)*B21,-AD8*B21,"")</f>
        <v/>
      </c>
      <c r="AE21" s="92" t="str">
        <f>IF(-SUM(AE8)*B21,-AE8*B21,"")</f>
        <v/>
      </c>
      <c r="AF21" s="92" t="str">
        <f>IF(-SUM(AF8)*B21,-AF8*B21,"")</f>
        <v/>
      </c>
      <c r="AG21" s="92" t="str">
        <f>IF(-SUM(AG8)*B21,-AG8*B21,"")</f>
        <v/>
      </c>
      <c r="AH21" s="92" t="str">
        <f>IF(-SUM(AH8)*B21,-AH8*B21,"")</f>
        <v/>
      </c>
      <c r="AI21" s="92" t="str">
        <f>IF(-SUM(AI8)*B21,-AI8*B21,"")</f>
        <v/>
      </c>
      <c r="AJ21" s="92" t="str">
        <f>IF(-SUM(AJ8)*B21,-AJ8*B21,"")</f>
        <v/>
      </c>
      <c r="AK21" s="1"/>
    </row>
    <row r="22" spans="1:48" ht="15" thickBot="1">
      <c r="A22" s="90" t="s">
        <v>86</v>
      </c>
      <c r="B22" s="4"/>
      <c r="C22" s="92" t="str">
        <f>IF(-B22*C5,-B22*C5,"")</f>
        <v/>
      </c>
      <c r="D22" s="92" t="str">
        <f>IF(-B22*D5,-B22*D5,"")</f>
        <v/>
      </c>
      <c r="E22" s="92" t="str">
        <f>IF(-B22*E5,-B22*E5,"")</f>
        <v/>
      </c>
      <c r="F22" s="92" t="str">
        <f>IF(-B22*F5,-B22*F5,"")</f>
        <v/>
      </c>
      <c r="G22" s="92" t="str">
        <f>IF(-B22*G5,-B22*G5,"")</f>
        <v/>
      </c>
      <c r="H22" s="92" t="str">
        <f>IF(-B22*H5,-B22*H5,"")</f>
        <v/>
      </c>
      <c r="I22" s="92" t="str">
        <f>IF(-B22*I5,-B22*I5,"")</f>
        <v/>
      </c>
      <c r="J22" s="92" t="str">
        <f>IF(-B22*J5,-B22*J5,"")</f>
        <v/>
      </c>
      <c r="K22" s="92" t="str">
        <f>IF(-B22*K5,-B22*K5,"")</f>
        <v/>
      </c>
      <c r="L22" s="92" t="str">
        <f>IF(-B22*L5,-B22*L5,"")</f>
        <v/>
      </c>
      <c r="M22" s="92" t="str">
        <f>IF(-B22*M5,-B22*M5,"")</f>
        <v/>
      </c>
      <c r="N22" s="92" t="str">
        <f>IF(-B22*N5,-B22*N5,"")</f>
        <v/>
      </c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1"/>
    </row>
    <row r="23" spans="1:48" ht="18.600000000000001" thickBot="1">
      <c r="B23" s="96" t="s">
        <v>87</v>
      </c>
      <c r="C23" s="93">
        <f>SUM(C6:C7)+SUM(C21:C22)</f>
        <v>0</v>
      </c>
      <c r="D23" s="93">
        <f>SUM(D6:D8)+SUM(D21:D22)</f>
        <v>0</v>
      </c>
      <c r="E23" s="93">
        <f t="shared" ref="E23:N23" si="4">SUM(E6:E8)+SUM(E21:E22)</f>
        <v>1599.6000000000001</v>
      </c>
      <c r="F23" s="93">
        <f t="shared" si="4"/>
        <v>799.80000000000007</v>
      </c>
      <c r="G23" s="93">
        <f t="shared" si="4"/>
        <v>799.80000000000007</v>
      </c>
      <c r="H23" s="93">
        <f t="shared" si="4"/>
        <v>2399.4</v>
      </c>
      <c r="I23" s="93">
        <f t="shared" si="4"/>
        <v>799.80000000000007</v>
      </c>
      <c r="J23" s="93">
        <f t="shared" si="4"/>
        <v>799.80000000000007</v>
      </c>
      <c r="K23" s="93">
        <f t="shared" si="4"/>
        <v>799.80000000000007</v>
      </c>
      <c r="L23" s="93">
        <f t="shared" si="4"/>
        <v>1599.6000000000001</v>
      </c>
      <c r="M23" s="93">
        <f t="shared" si="4"/>
        <v>2399.4</v>
      </c>
      <c r="N23" s="93">
        <f t="shared" si="4"/>
        <v>3199.2000000000003</v>
      </c>
      <c r="O23" s="140">
        <f>SUM(O7:O8)+SUM(O21)</f>
        <v>2399.4</v>
      </c>
      <c r="P23" s="140">
        <f t="shared" ref="P23:Y23" si="5">SUM(P7:P8)+SUM(P21)</f>
        <v>1599.6000000000001</v>
      </c>
      <c r="Q23" s="140">
        <f t="shared" si="5"/>
        <v>799.80000000000007</v>
      </c>
      <c r="R23" s="140">
        <f t="shared" si="5"/>
        <v>0</v>
      </c>
      <c r="S23" s="140">
        <f t="shared" si="5"/>
        <v>0</v>
      </c>
      <c r="T23" s="140">
        <f t="shared" si="5"/>
        <v>0</v>
      </c>
      <c r="U23" s="140">
        <f t="shared" si="5"/>
        <v>0</v>
      </c>
      <c r="V23" s="140">
        <f t="shared" si="5"/>
        <v>0</v>
      </c>
      <c r="W23" s="140">
        <f t="shared" si="5"/>
        <v>0</v>
      </c>
      <c r="X23" s="140">
        <f t="shared" si="5"/>
        <v>0</v>
      </c>
      <c r="Y23" s="140">
        <f t="shared" si="5"/>
        <v>0</v>
      </c>
      <c r="Z23" s="140">
        <f>SUM(Z8)+SUM(Z21)</f>
        <v>0</v>
      </c>
      <c r="AA23" s="140">
        <f t="shared" ref="AA23:AJ23" si="6">SUM(AA8)+SUM(AA21)</f>
        <v>0</v>
      </c>
      <c r="AB23" s="140">
        <f t="shared" si="6"/>
        <v>0</v>
      </c>
      <c r="AC23" s="140">
        <f t="shared" si="6"/>
        <v>0</v>
      </c>
      <c r="AD23" s="140">
        <f t="shared" si="6"/>
        <v>0</v>
      </c>
      <c r="AE23" s="140">
        <f t="shared" si="6"/>
        <v>0</v>
      </c>
      <c r="AF23" s="140">
        <f t="shared" si="6"/>
        <v>0</v>
      </c>
      <c r="AG23" s="140">
        <f t="shared" si="6"/>
        <v>0</v>
      </c>
      <c r="AH23" s="140">
        <f t="shared" si="6"/>
        <v>0</v>
      </c>
      <c r="AI23" s="140">
        <f t="shared" si="6"/>
        <v>0</v>
      </c>
      <c r="AJ23" s="140">
        <f t="shared" si="6"/>
        <v>0</v>
      </c>
      <c r="AK23" s="1"/>
    </row>
    <row r="24" spans="1:48"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48">
      <c r="A25" s="86" t="str">
        <f>IF('Reverse Engineering Valuation'!A42 = "","    ---    ",'Reverse Engineering Valuation'!A42)</f>
        <v>Kilter Roller</v>
      </c>
      <c r="B25" s="87" t="str">
        <f>IF(ROUND(B31,1)&gt;0,CONCATENATE("Under by ",ROUND(B31,1)), IF(ROUND(B31,1)&lt;0, CONCATENATE("OVER BY ",ROUND(B31,1)), "You Matched"))</f>
        <v>You Matched</v>
      </c>
      <c r="C25" s="85">
        <f t="shared" ref="C25:N25" si="7">C127</f>
        <v>44927</v>
      </c>
      <c r="D25" s="85">
        <f t="shared" si="7"/>
        <v>44958</v>
      </c>
      <c r="E25" s="85">
        <f t="shared" si="7"/>
        <v>44986</v>
      </c>
      <c r="F25" s="85">
        <f t="shared" si="7"/>
        <v>45017</v>
      </c>
      <c r="G25" s="85">
        <f t="shared" si="7"/>
        <v>45047</v>
      </c>
      <c r="H25" s="85">
        <f t="shared" si="7"/>
        <v>45078</v>
      </c>
      <c r="I25" s="85">
        <f t="shared" si="7"/>
        <v>45108</v>
      </c>
      <c r="J25" s="85">
        <f t="shared" si="7"/>
        <v>45139</v>
      </c>
      <c r="K25" s="85">
        <f t="shared" si="7"/>
        <v>45170</v>
      </c>
      <c r="L25" s="85">
        <f t="shared" si="7"/>
        <v>45200</v>
      </c>
      <c r="M25" s="85">
        <f t="shared" si="7"/>
        <v>45231</v>
      </c>
      <c r="N25" s="85">
        <f t="shared" si="7"/>
        <v>45261</v>
      </c>
      <c r="O25" s="139" t="str">
        <f t="shared" ref="O25:AJ25" si="8" xml:space="preserve">  CONCATENATE("Ext +", COLUMN()-14)</f>
        <v>Ext +1</v>
      </c>
      <c r="P25" s="139" t="str">
        <f t="shared" si="8"/>
        <v>Ext +2</v>
      </c>
      <c r="Q25" s="139" t="str">
        <f t="shared" si="8"/>
        <v>Ext +3</v>
      </c>
      <c r="R25" s="139" t="str">
        <f t="shared" si="8"/>
        <v>Ext +4</v>
      </c>
      <c r="S25" s="139" t="str">
        <f t="shared" si="8"/>
        <v>Ext +5</v>
      </c>
      <c r="T25" s="139" t="str">
        <f t="shared" si="8"/>
        <v>Ext +6</v>
      </c>
      <c r="U25" s="139" t="str">
        <f t="shared" si="8"/>
        <v>Ext +7</v>
      </c>
      <c r="V25" s="139" t="str">
        <f t="shared" si="8"/>
        <v>Ext +8</v>
      </c>
      <c r="W25" s="139" t="str">
        <f t="shared" si="8"/>
        <v>Ext +9</v>
      </c>
      <c r="X25" s="139" t="str">
        <f t="shared" si="8"/>
        <v>Ext +10</v>
      </c>
      <c r="Y25" s="139" t="str">
        <f t="shared" si="8"/>
        <v>Ext +11</v>
      </c>
      <c r="Z25" s="139" t="str">
        <f t="shared" si="8"/>
        <v>Ext +12</v>
      </c>
      <c r="AA25" s="121" t="str">
        <f t="shared" si="8"/>
        <v>Ext +13</v>
      </c>
      <c r="AB25" s="121" t="str">
        <f t="shared" si="8"/>
        <v>Ext +14</v>
      </c>
      <c r="AC25" s="121" t="str">
        <f t="shared" si="8"/>
        <v>Ext +15</v>
      </c>
      <c r="AD25" s="121" t="str">
        <f t="shared" si="8"/>
        <v>Ext +16</v>
      </c>
      <c r="AE25" s="121" t="str">
        <f t="shared" si="8"/>
        <v>Ext +17</v>
      </c>
      <c r="AF25" s="121" t="str">
        <f t="shared" si="8"/>
        <v>Ext +18</v>
      </c>
      <c r="AG25" s="121" t="str">
        <f t="shared" si="8"/>
        <v>Ext +19</v>
      </c>
      <c r="AH25" s="121" t="str">
        <f t="shared" si="8"/>
        <v>Ext +20</v>
      </c>
      <c r="AI25" s="121" t="str">
        <f t="shared" si="8"/>
        <v>Ext +21</v>
      </c>
      <c r="AJ25" s="121" t="str">
        <f t="shared" si="8"/>
        <v>Ext +22</v>
      </c>
    </row>
    <row r="26" spans="1:48">
      <c r="A26" s="90" t="str">
        <f>A5</f>
        <v xml:space="preserve">Number of customers @ </v>
      </c>
      <c r="B26" s="50">
        <f>'Reverse Engineering Valuation'!B42</f>
        <v>79.989999999999995</v>
      </c>
      <c r="C26" s="57"/>
      <c r="D26" s="57">
        <v>5</v>
      </c>
      <c r="E26" s="57">
        <v>5</v>
      </c>
      <c r="F26" s="57">
        <v>5</v>
      </c>
      <c r="G26" s="57">
        <v>10</v>
      </c>
      <c r="H26" s="57">
        <f t="shared" ref="H26:N26" si="9">G26</f>
        <v>10</v>
      </c>
      <c r="I26" s="57">
        <f t="shared" si="9"/>
        <v>10</v>
      </c>
      <c r="J26" s="57">
        <f t="shared" si="9"/>
        <v>10</v>
      </c>
      <c r="K26" s="57">
        <v>15</v>
      </c>
      <c r="L26" s="57">
        <f t="shared" si="9"/>
        <v>15</v>
      </c>
      <c r="M26" s="57">
        <v>20</v>
      </c>
      <c r="N26" s="57">
        <f t="shared" si="9"/>
        <v>20</v>
      </c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1"/>
      <c r="AL26" s="1"/>
    </row>
    <row r="27" spans="1:48">
      <c r="A27" s="90" t="s">
        <v>80</v>
      </c>
      <c r="B27" s="52"/>
      <c r="C27" s="50" t="str">
        <f>IF(C26*B27*B26,C26*B27*B26,"")</f>
        <v/>
      </c>
      <c r="D27" s="50" t="str">
        <f>IF(D26*B27*B26,D26*B27*B26,"")</f>
        <v/>
      </c>
      <c r="E27" s="50" t="str">
        <f>IF(E26*B27*B26,E26*B27*B26,"")</f>
        <v/>
      </c>
      <c r="F27" s="50" t="str">
        <f>IF(F26*B27*B26,F26*B27*B26,"")</f>
        <v/>
      </c>
      <c r="G27" s="50" t="str">
        <f>IF(G26*B27*B26,G26*B27*B26,"")</f>
        <v/>
      </c>
      <c r="H27" s="50" t="str">
        <f>IF(H26*B27*B26,H26*B27*B26,"")</f>
        <v/>
      </c>
      <c r="I27" s="50" t="str">
        <f>IF(I26*B27*B26,I26*B27*B26,"")</f>
        <v/>
      </c>
      <c r="J27" s="50" t="str">
        <f>IF(J26*B27*B26,J26*B27*B26,"")</f>
        <v/>
      </c>
      <c r="K27" s="50" t="str">
        <f>IF(K26*B27*B26,K26*B27*B26,"")</f>
        <v/>
      </c>
      <c r="L27" s="50" t="str">
        <f>IF(L26*B27*B26,L26*B27*B26,"")</f>
        <v/>
      </c>
      <c r="M27" s="50" t="str">
        <f>IF(M26*B27*B26,M26*B27*B26,"")</f>
        <v/>
      </c>
      <c r="N27" s="50" t="str">
        <f>IF(N26*B27*B26,N26*B27*B26,"")</f>
        <v/>
      </c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1"/>
    </row>
    <row r="28" spans="1:48">
      <c r="A28" s="90" t="s">
        <v>81</v>
      </c>
      <c r="B28" s="53"/>
      <c r="C28" s="50" t="str">
        <f>IF(IF((COLUMN()-2-B28)&gt;0,INDEX(C26:Z26,1, (COLUMN()-2-B28)),0)&gt;=1,(B26* IF((COLUMN()-2-B28)&gt;0,INDEX(C26:Z26,1, (COLUMN()-2-B28)),0)*(1-B27))/(B29+1),"")</f>
        <v/>
      </c>
      <c r="D28" s="50">
        <f>IF(IF((COLUMN()-2-B28)&gt;0,INDEX(C26:Z26,1, (COLUMN()-2-B28)),0)&gt;=1,(B26* IF((COLUMN()-2-B28)&gt;0,INDEX(C26:Z26,1, (COLUMN()-2-B28)),0)*(1-B27))/(B29+1),"")</f>
        <v>399.95</v>
      </c>
      <c r="E28" s="50">
        <f>IF(IF((COLUMN()-2-B28)&gt;0,INDEX(C26:Z26,1, (COLUMN()-2-B28)),0)&gt;=1,(B26* IF((COLUMN()-2-B28)&gt;0,INDEX(C26:Z26,1, (COLUMN()-2-B28)),0)*(1-B27))/(B29+1),"")</f>
        <v>399.95</v>
      </c>
      <c r="F28" s="50">
        <f>IF(IF((COLUMN()-2-B28)&gt;0,INDEX(C26:Z26,1, (COLUMN()-2-B28)),0)&gt;=1,(B26* IF((COLUMN()-2-B28)&gt;0,INDEX(C26:Z26,1, (COLUMN()-2-B28)),0)*(1-B27))/(B29+1),"")</f>
        <v>399.95</v>
      </c>
      <c r="G28" s="50">
        <f>IF(IF((COLUMN()-2-B28)&gt;0,INDEX(C26:Z26,1, (COLUMN()-2-B28)),0)&gt;=1,(B26* IF((COLUMN()-2-B28)&gt;0,INDEX(C26:Z26,1, (COLUMN()-2-B28)),0)*(1-B27))/(B29+1),"")</f>
        <v>799.9</v>
      </c>
      <c r="H28" s="50">
        <f>IF(IF((COLUMN()-2-B28)&gt;0,INDEX(C26:Z26,1, (COLUMN()-2-B28)),0)&gt;=1,(B26* IF((COLUMN()-2-B28)&gt;0,INDEX(C26:Z26,1, (COLUMN()-2-B28)),0)*(1-B27))/(B29+1),"")</f>
        <v>799.9</v>
      </c>
      <c r="I28" s="50">
        <f>IF(IF((COLUMN()-2-B28)&gt;0,INDEX(C26:Z26,1, (COLUMN()-2-B28)),0)&gt;=1,(B26* IF((COLUMN()-2-B28)&gt;0,INDEX(C26:Z26,1, (COLUMN()-2-B28)),0)*(1-B27))/(B29+1),"")</f>
        <v>799.9</v>
      </c>
      <c r="J28" s="50">
        <f>IF(IF((COLUMN()-2-B28)&gt;0,INDEX(C26:Z26,1, (COLUMN()-2-B28)),0)&gt;=1,(B26* IF((COLUMN()-2-B28)&gt;0,INDEX(C26:Z26,1, (COLUMN()-2-B28)),0)*(1-B27))/(B29+1),"")</f>
        <v>799.9</v>
      </c>
      <c r="K28" s="50">
        <f>IF(IF((COLUMN()-2-B28)&gt;0,INDEX(C26:Z26,1, (COLUMN()-2-B28)),0)&gt;=1,(B26* IF((COLUMN()-2-B28)&gt;0,INDEX(C26:Z26,1, (COLUMN()-2-B28)),0)*(1-B27))/(B29+1),"")</f>
        <v>1199.8499999999999</v>
      </c>
      <c r="L28" s="50">
        <f>IF(IF((COLUMN()-2-B28)&gt;0,INDEX(C26:Z26,1, (COLUMN()-2-B28)),0)&gt;=1,(B26* IF((COLUMN()-2-B28)&gt;0,INDEX(C26:Z26,1, (COLUMN()-2-B28)),0)*(1-B27))/(B29+1),"")</f>
        <v>1199.8499999999999</v>
      </c>
      <c r="M28" s="50">
        <f>IF(IF((COLUMN()-2-B28)&gt;0,INDEX(C26:Z26,1, (COLUMN()-2-B28)),0)&gt;=1,(B26* IF((COLUMN()-2-B28)&gt;0,INDEX(C26:Z26,1, (COLUMN()-2-B28)),0)*(1-B27))/(B29+1),"")</f>
        <v>1599.8</v>
      </c>
      <c r="N28" s="50">
        <f>IF(IF((COLUMN()-2-B28)&gt;0,INDEX(C26:Z26,1, (COLUMN()-2-B28)),0)&gt;=1,(B26* IF((COLUMN()-2-B28)&gt;0,INDEX(C26:Z26,1, (COLUMN()-2-B28)),0)*(1-B27))/(B29+1),"")</f>
        <v>1599.8</v>
      </c>
      <c r="O28" s="55" t="str">
        <f>IF(IF((COLUMN()-2-B28)&gt;0,INDEX(C26:Z26,1, (COLUMN()-2-B28)),0)&gt;=1,(B26* IF((COLUMN()-2-B28)&gt;0,INDEX(C26:Z26,1, (COLUMN()-2-B28)),0)*(1-B27))/(B29+1),"")</f>
        <v/>
      </c>
      <c r="P28" s="55" t="str">
        <f>IF(IF((COLUMN()-2-B28)&gt;0,INDEX(C26:Z26,1, (COLUMN()-2-B28)),0)&gt;=1,(B26* IF((COLUMN()-2-B28)&gt;0,INDEX(C26:Z26,1, (COLUMN()-2-B28)),0)*(1-B27))/(B29+1),"")</f>
        <v/>
      </c>
      <c r="Q28" s="55" t="str">
        <f>IF(IF((COLUMN()-2-B28)&gt;0,INDEX(C26:Z26,1, (COLUMN()-2-B28)),0)&gt;=1,(B26* IF((COLUMN()-2-B28)&gt;0,INDEX(C26:Z26,1, (COLUMN()-2-B28)),0)*(1-B27))/(B29+1),"")</f>
        <v/>
      </c>
      <c r="R28" s="55" t="str">
        <f>IF(IF((COLUMN()-2-B28)&gt;0,INDEX(C26:Z26,1, (COLUMN()-2-B28)),0)&gt;=1,(B26* IF((COLUMN()-2-B28)&gt;0,INDEX(C26:Z26,1, (COLUMN()-2-B28)),0)*(1-B27))/(B29+1),"")</f>
        <v/>
      </c>
      <c r="S28" s="55" t="str">
        <f>IF(IF((COLUMN()-2-B28)&gt;0,INDEX(C26:Z26,1, (COLUMN()-2-B28)),0)&gt;=1,(B26* IF((COLUMN()-2-B28)&gt;0,INDEX(C26:Z26,1, (COLUMN()-2-B28)),0)*(1-B27))/(B29+1),"")</f>
        <v/>
      </c>
      <c r="T28" s="55" t="str">
        <f>IF(IF((COLUMN()-2-B28)&gt;0,INDEX(C26:Z26,1, (COLUMN()-2-B28)),0)&gt;=1,(B26* IF((COLUMN()-2-B28)&gt;0,INDEX(C26:Z26,1, (COLUMN()-2-B28)),0)*(1-B27))/(B29+1),"")</f>
        <v/>
      </c>
      <c r="U28" s="55" t="str">
        <f>IF(IF((COLUMN()-2-B28)&gt;0,INDEX(C26:Z26,1, (COLUMN()-2-B28)),0)&gt;=1,(B26* IF((COLUMN()-2-B28)&gt;0,INDEX(C26:Z26,1, (COLUMN()-2-B28)),0)*(1-B27))/(B29+1),"")</f>
        <v/>
      </c>
      <c r="V28" s="55" t="str">
        <f>IF(IF((COLUMN()-2-B28)&gt;0,INDEX(C26:Z26,1, (COLUMN()-2-B28)),0)&gt;=1,(B26* IF((COLUMN()-2-B28)&gt;0,INDEX(C26:Z26,1, (COLUMN()-2-B28)),0)*(1-B27))/(B29+1),"")</f>
        <v/>
      </c>
      <c r="W28" s="55" t="str">
        <f>IF(IF((COLUMN()-2-B28)&gt;0,INDEX(C26:Z26,1, (COLUMN()-2-B28)),0)&gt;=1,(B26* IF((COLUMN()-2-B28)&gt;0,INDEX(C26:Z26,1, (COLUMN()-2-B28)),0)*(1-B27))/(B29+1),"")</f>
        <v/>
      </c>
      <c r="X28" s="55" t="str">
        <f>IF(IF((COLUMN()-2-B28)&gt;0,INDEX(C26:Z26,1, (COLUMN()-2-B28)),0)&gt;=1,(B26* IF((COLUMN()-2-B28)&gt;0,INDEX(C26:Z26,1, (COLUMN()-2-B28)),0)*(1-B27))/(B29+1),"")</f>
        <v/>
      </c>
      <c r="Y28" s="55" t="str">
        <f>IF(IF((COLUMN()-2-B28)&gt;0,INDEX(C26:Z26,1, (COLUMN()-2-B28)),0)&gt;=1,(B26* IF((COLUMN()-2-B28)&gt;0,INDEX(C26:Z26,1, (COLUMN()-2-B28)),0)*(1-B27))/(B29+1),"")</f>
        <v/>
      </c>
      <c r="Z28" s="91" t="str">
        <f>IF(IF((COLUMN()-2-B28)&gt;0,INDEX(C26:Z26,1, (COLUMN()-2-B28)),0)&gt;=1,(B26* IF((COLUMN()-2-B28)&gt;0,INDEX(C26:Z26,1, (COLUMN()-2-B28)),0)*(1-B27))/(B29+1),"")</f>
        <v/>
      </c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1"/>
    </row>
    <row r="29" spans="1:48">
      <c r="A29" s="90" t="s">
        <v>82</v>
      </c>
      <c r="B29" s="53"/>
      <c r="C29" s="91"/>
      <c r="D29" s="50" t="str">
        <f>IF(SUM(D30),SUM(D30),"")</f>
        <v/>
      </c>
      <c r="E29" s="50" t="str">
        <f>IF(SUM(E30:E31),SUM(E30:E31),"")</f>
        <v/>
      </c>
      <c r="F29" s="50" t="str">
        <f>IF(SUM(F30:F32),SUM(F30:F32),"")</f>
        <v/>
      </c>
      <c r="G29" s="50" t="str">
        <f>IF(SUM(G30:G33),SUM(G30:G33),"")</f>
        <v/>
      </c>
      <c r="H29" s="50" t="str">
        <f>IF(SUM(H30:H34),SUM(H30:H34),"")</f>
        <v/>
      </c>
      <c r="I29" s="50" t="str">
        <f>IF(SUM(I30:I35),SUM(I30:I35),"")</f>
        <v/>
      </c>
      <c r="J29" s="50" t="str">
        <f>IF(SUM(J30:J36),SUM(J30:J36),"")</f>
        <v/>
      </c>
      <c r="K29" s="50" t="str">
        <f>IF(SUM(K30:K37),SUM(K30:K37),"")</f>
        <v/>
      </c>
      <c r="L29" s="50" t="str">
        <f>IF(SUM(L30:L38),SUM(L30:L38),"")</f>
        <v/>
      </c>
      <c r="M29" s="50" t="str">
        <f>IF(SUM(M30:M39),SUM(M30:M39),"")</f>
        <v/>
      </c>
      <c r="N29" s="50" t="str">
        <f>IF(SUM(N30:N40),SUM(N30:N40),"")</f>
        <v/>
      </c>
      <c r="O29" s="55" t="str">
        <f t="shared" ref="O29:Z29" si="10">IF(SUM(O30:O41),SUM(O30:O41),"")</f>
        <v/>
      </c>
      <c r="P29" s="55" t="str">
        <f t="shared" si="10"/>
        <v/>
      </c>
      <c r="Q29" s="55" t="str">
        <f t="shared" si="10"/>
        <v/>
      </c>
      <c r="R29" s="55" t="str">
        <f t="shared" si="10"/>
        <v/>
      </c>
      <c r="S29" s="55" t="str">
        <f t="shared" si="10"/>
        <v/>
      </c>
      <c r="T29" s="55" t="str">
        <f t="shared" si="10"/>
        <v/>
      </c>
      <c r="U29" s="55" t="str">
        <f t="shared" si="10"/>
        <v/>
      </c>
      <c r="V29" s="55" t="str">
        <f t="shared" si="10"/>
        <v/>
      </c>
      <c r="W29" s="55" t="str">
        <f t="shared" si="10"/>
        <v/>
      </c>
      <c r="X29" s="55" t="str">
        <f t="shared" si="10"/>
        <v/>
      </c>
      <c r="Y29" s="55" t="str">
        <f t="shared" si="10"/>
        <v/>
      </c>
      <c r="Z29" s="55" t="str">
        <f t="shared" si="10"/>
        <v/>
      </c>
      <c r="AA29" s="56" t="str">
        <f>IF(SUM(AA32:AA41),SUM(AA32:AA41),"")</f>
        <v/>
      </c>
      <c r="AB29" s="56" t="str">
        <f>IF(SUM(AB33:AB41),SUM(AB33:AB41),"")</f>
        <v/>
      </c>
      <c r="AC29" s="56" t="str">
        <f>IF(SUM(AC34:AC41),SUM(AC34:AC41),"")</f>
        <v/>
      </c>
      <c r="AD29" s="56" t="str">
        <f>IF(SUM(AD35:AD41),SUM(AD35:AD41),"")</f>
        <v/>
      </c>
      <c r="AE29" s="56" t="str">
        <f>IF(SUM(AE36:AE41),SUM(AE36:AE41),"")</f>
        <v/>
      </c>
      <c r="AF29" s="56" t="str">
        <f>IF(SUM(AF37:AF41),SUM(AF37:AF41),"")</f>
        <v/>
      </c>
      <c r="AG29" s="56" t="str">
        <f>IF(SUM(AG38:AG41),SUM(AG38:AG41),"")</f>
        <v/>
      </c>
      <c r="AH29" s="56" t="str">
        <f>IF(SUM(AH39:AH41),SUM(AH39:AH41),"")</f>
        <v/>
      </c>
      <c r="AI29" s="56" t="str">
        <f>IF(SUM(AI40:AI41),SUM(AI40:AI41),"")</f>
        <v/>
      </c>
      <c r="AJ29" s="56" t="str">
        <f>IF(SUM(AJ41),SUM(AJ41),"")</f>
        <v/>
      </c>
      <c r="AK29" s="1"/>
      <c r="AL29" s="1"/>
    </row>
    <row r="30" spans="1:48" hidden="1">
      <c r="A30" s="90" t="s">
        <v>83</v>
      </c>
      <c r="B30" s="51">
        <f>IF('Reverse Engineering Valuation'!F42,'Reverse Engineering Valuation'!H42,'Reverse Engineering Valuation'!E42)</f>
        <v>125.00000000000001</v>
      </c>
      <c r="C30" s="91"/>
      <c r="D30" s="50" t="str">
        <f>IF(OR(NOT(C26),(COLUMN()-3)-(B28+1)&lt;0,(B28+1+B29) - (COLUMN()-2) &lt;0),"",C26*(1-B27)/(B29+1)*B26)</f>
        <v/>
      </c>
      <c r="E30" s="50" t="str">
        <f>IF(OR(NOT(C26),(COLUMN()-3)-(B28+1)&lt;0,(B28+1+B29) - (COLUMN()-2) &lt;0),"",C26*(1-B27)/(B29+1)*B26)</f>
        <v/>
      </c>
      <c r="F30" s="50" t="str">
        <f>IF(OR(NOT(C26),(COLUMN()-3)-(B28+1)&lt;0,(B28+1+B29) - (COLUMN()-2) &lt;0),"",C26*(1-B27)/(B29+1)*B26)</f>
        <v/>
      </c>
      <c r="G30" s="50" t="str">
        <f>IF(OR(NOT(C26),(COLUMN()-3)-(B28+1)&lt;0,(B28+1+B29) - (COLUMN()-2) &lt;0),"",C26*(1-B27)/(B29+1)*B26)</f>
        <v/>
      </c>
      <c r="H30" s="50" t="str">
        <f>IF(OR(NOT(C26),(COLUMN()-3)-(B28+1)&lt;0,(B28+1+B29) - (COLUMN()-2) &lt;0),"",C26*(1-B27)/(B29+1)*B26)</f>
        <v/>
      </c>
      <c r="I30" s="50" t="str">
        <f>IF(OR(NOT(C26),(COLUMN()-3)-(B28+1)&lt;0,(B28+1+B29) - (COLUMN()-2) &lt;0),"",C26*(1-B27)/(B29+1)*B26)</f>
        <v/>
      </c>
      <c r="J30" s="50" t="str">
        <f>IF(OR(NOT(C26),(COLUMN()-3)-(B28+1)&lt;0,(B28+1+B29) - (COLUMN()-2) &lt;0),"",C26*(1-B27)/(B29+1)*B26)</f>
        <v/>
      </c>
      <c r="K30" s="50" t="str">
        <f>IF(OR(NOT(C26),(COLUMN()-3)-(B28+1)&lt;0,(B28+1+B29) - (COLUMN()-2) &lt;0),"",C26*(1-B27)/(B29+1)*B26)</f>
        <v/>
      </c>
      <c r="L30" s="50" t="str">
        <f>IF(OR(NOT(C26),(COLUMN()-3)-(B28+1)&lt;0,(B28+1+B29) - (COLUMN()-2) &lt;0),"",C26*(1-B27)/(B29+1)*B26)</f>
        <v/>
      </c>
      <c r="M30" s="50" t="str">
        <f>IF(OR(NOT(C26),(COLUMN()-3)-(B28+1)&lt;0,(B28+1+B29) - (COLUMN()-2) &lt;0),"",C26*(1-B27)/(B29+1)*B26)</f>
        <v/>
      </c>
      <c r="N30" s="50" t="str">
        <f>IF(OR(NOT(C26),(COLUMN()-3)-(B28+1)&lt;0,(B28+1+B29) - (COLUMN()-2) &lt;0),"",C26*(1-B27)/(B29+1)*B26)</f>
        <v/>
      </c>
      <c r="O30" s="55" t="str">
        <f>IF(OR(NOT(C26),(COLUMN()-3)-(B28+1)&lt;0,(B28+1+B29) - (COLUMN()-2) &lt;0),"",C26*(1-B27)/(B29+1)*B26)</f>
        <v/>
      </c>
      <c r="P30" s="55" t="str">
        <f>IF(OR(NOT(C26),(COLUMN()-3)-(B28+1)&lt;0,(B28+1+B29) - (COLUMN()-2) &lt;0),"",C26*(1-B27)/(B29+1)*B26)</f>
        <v/>
      </c>
      <c r="Q30" s="55" t="str">
        <f>IF(OR(NOT(C26),(COLUMN()-3)-(B28+1)&lt;0,(B28+1+B29) - (COLUMN()-2) &lt;0),"",C26*(1-B27)/(B29+1)*B26)</f>
        <v/>
      </c>
      <c r="R30" s="55" t="str">
        <f>IF(OR(NOT(C26),(COLUMN()-3)-(B28+1)&lt;0,(B28+1+B29) - (COLUMN()-2) &lt;0),"",C26*(1-B27)/(B29+1)*B26)</f>
        <v/>
      </c>
      <c r="S30" s="55" t="str">
        <f>IF(OR(NOT(C26),(COLUMN()-3)-(B28+1)&lt;0,(B28+1+B29) - (COLUMN()-2) &lt;0),"",C26*(1-B27)/(B29+1)*B26)</f>
        <v/>
      </c>
      <c r="T30" s="55" t="str">
        <f>IF(OR(NOT(C26),(COLUMN()-3)-(B28+1)&lt;0,(B28+1+B29) - (COLUMN()-2) &lt;0),"",C26*(1-B27)/(B29+1)*B26)</f>
        <v/>
      </c>
      <c r="U30" s="55" t="str">
        <f>IF(OR(NOT(C26),(COLUMN()-3)-(B28+1)&lt;0,(B28+1+B29) - (COLUMN()-2) &lt;0),"",C26*(1-B27)/(B29+1)*B26)</f>
        <v/>
      </c>
      <c r="V30" s="55" t="str">
        <f>IF(OR(NOT(C26),(COLUMN()-3)-(B28+1)&lt;0,(B28+1+B29) - (COLUMN()-2) &lt;0),"",C26*(1-B27)/(B29+1)*B26)</f>
        <v/>
      </c>
      <c r="W30" s="55" t="str">
        <f>IF(OR(NOT(C26),(COLUMN()-3)-(B28+1)&lt;0,(B28+1+B29) - (COLUMN()-2) &lt;0),"",C26*(1-B27)/(B29+1)*B26)</f>
        <v/>
      </c>
      <c r="X30" s="55" t="str">
        <f>IF(OR(NOT(C26),(COLUMN()-3)-(B28+1)&lt;0,(B28+1+B29) - (COLUMN()-2) &lt;0),"",C26*(1-B27)/(B29+1)*B26)</f>
        <v/>
      </c>
      <c r="Y30" s="55" t="str">
        <f>IF(OR(NOT(C26),(COLUMN()-3)-(B28+1)&lt;0,(B28+1+B29) - (COLUMN()-2) &lt;0),"",C26*(1-B27)/(B29+1)*B26)</f>
        <v/>
      </c>
      <c r="Z30" s="55" t="str">
        <f>IF(OR(NOT(C26),(COLUMN()-3)-(B28+1)&lt;0,(B28+1+B29) - (COLUMN()-2) &lt;0),"",C26*(1-B27)/(B29+1)*B26)</f>
        <v/>
      </c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1"/>
    </row>
    <row r="31" spans="1:48" hidden="1">
      <c r="A31" s="90" t="s">
        <v>84</v>
      </c>
      <c r="B31" s="54">
        <f>B30-SUM(C26:N26)</f>
        <v>0</v>
      </c>
      <c r="C31" s="91"/>
      <c r="D31" s="91"/>
      <c r="E31" s="50" t="str">
        <f>IF(OR(NOT(D26),(COLUMN()-3)-(B28+2)&lt;0,(B28+2 +B29) - (COLUMN()-2) &lt;0),"",D26*(1-B27)/(B29+1)*B26)</f>
        <v/>
      </c>
      <c r="F31" s="50" t="str">
        <f>IF(OR(NOT(D26),(COLUMN()-3)-(B28+2)&lt;0,(B28+2 +B29) - (COLUMN()-2) &lt;0),"",D26*(1-B27)/(B29+1)*B26)</f>
        <v/>
      </c>
      <c r="G31" s="50" t="str">
        <f>IF(OR(NOT(D26),(COLUMN()-3)-(B28+2)&lt;0,(B28+2 +B29) - (COLUMN()-2) &lt;0),"",D26*(1-B27)/(B29+1)*B26)</f>
        <v/>
      </c>
      <c r="H31" s="50" t="str">
        <f>IF(OR(NOT(D26),(COLUMN()-3)-(B28+2)&lt;0,(B28+2 +B29) - (COLUMN()-2) &lt;0),"",D26*(1-B27)/(B29+1)*B26)</f>
        <v/>
      </c>
      <c r="I31" s="50" t="str">
        <f>IF(OR(NOT(D26),(COLUMN()-3)-(B28+2)&lt;0,(B28+2 +B29) - (COLUMN()-2) &lt;0),"",D26*(1-B27)/(B29+1)*B26)</f>
        <v/>
      </c>
      <c r="J31" s="50" t="str">
        <f>IF(OR(NOT(D26),(COLUMN()-3)-(B28+2)&lt;0,(B28+2 +B29) - (COLUMN()-2) &lt;0),"",D26*(1-B27)/(B29+1)*B26)</f>
        <v/>
      </c>
      <c r="K31" s="50" t="str">
        <f>IF(OR(NOT(D26),(COLUMN()-3)-(B28+2)&lt;0,(B28+2 +B29) - (COLUMN()-2) &lt;0),"",D26*(1-B27)/(B29+1)*B26)</f>
        <v/>
      </c>
      <c r="L31" s="50" t="str">
        <f>IF(OR(NOT(D26),(COLUMN()-3)-(B28+2)&lt;0,(B28+2 +B29) - (COLUMN()-2) &lt;0),"",D26*(1-B27)/(B29+1)*B26)</f>
        <v/>
      </c>
      <c r="M31" s="50" t="str">
        <f>IF(OR(NOT(D26),(COLUMN()-3)-(B28+2)&lt;0,(B28+2 +B29) - (COLUMN()-2) &lt;0),"",D26*(1-B27)/(B29+1)*B26)</f>
        <v/>
      </c>
      <c r="N31" s="50" t="str">
        <f>IF(OR(NOT(D26),(COLUMN()-3)-(B28+2)&lt;0,(B28+2 +B29) - (COLUMN()-2) &lt;0),"",D26*(1-B27)/(B29+1)*B26)</f>
        <v/>
      </c>
      <c r="O31" s="55" t="str">
        <f>IF(OR(NOT(D26),(COLUMN()-3)-(B28+2)&lt;0,(B28+2 +B29) - (COLUMN()-2) &lt;0),"",D26*(1-B27)/(B29+1)*B26)</f>
        <v/>
      </c>
      <c r="P31" s="55" t="str">
        <f>IF(OR(NOT(D26),(COLUMN()-3)-(B28+2)&lt;0,(B28+2 +B29) - (COLUMN()-2) &lt;0),"",D26*(1-B27)/(B29+1)*B26)</f>
        <v/>
      </c>
      <c r="Q31" s="55" t="str">
        <f>IF(OR(NOT(D26),(COLUMN()-3)-(B28+2)&lt;0,(B28+2 +B29) - (COLUMN()-2) &lt;0),"",D26*(1-B27)/(B29+1)*B26)</f>
        <v/>
      </c>
      <c r="R31" s="55" t="str">
        <f>IF(OR(NOT(D26),(COLUMN()-3)-(B28+2)&lt;0,(B28+2 +B29) - (COLUMN()-2) &lt;0),"",D26*(1-B27)/(B29+1)*B26)</f>
        <v/>
      </c>
      <c r="S31" s="55" t="str">
        <f>IF(OR(NOT(D26),(COLUMN()-3)-(B28+2)&lt;0,(B28+2 +B29) - (COLUMN()-2) &lt;0),"",D26*(1-B27)/(B29+1)*B26)</f>
        <v/>
      </c>
      <c r="T31" s="55" t="str">
        <f>IF(OR(NOT(D26),(COLUMN()-3)-(B28+2)&lt;0,(B28+2 +B29) - (COLUMN()-2) &lt;0),"",D26*(1-B27)/(B29+1)*B26)</f>
        <v/>
      </c>
      <c r="U31" s="55" t="str">
        <f>IF(OR(NOT(D26),(COLUMN()-3)-(B28+2)&lt;0,(B28+2 +B29) - (COLUMN()-2) &lt;0),"",D26*(1-B27)/(B29+1)*B26)</f>
        <v/>
      </c>
      <c r="V31" s="55" t="str">
        <f>IF(OR(NOT(D26),(COLUMN()-3)-(B28+2)&lt;0,(B28+2 +B29) - (COLUMN()-2) &lt;0),"",D26*(1-B27)/(B29+1)*B26)</f>
        <v/>
      </c>
      <c r="W31" s="55" t="str">
        <f>IF(OR(NOT(D26),(COLUMN()-3)-(B28+2)&lt;0,(B28+2 +B29) - (COLUMN()-2) &lt;0),"",D26*(1-B27)/(B29+1)*B26)</f>
        <v/>
      </c>
      <c r="X31" s="55" t="str">
        <f>IF(OR(NOT(D26),(COLUMN()-3)-(B28+2)&lt;0,(B28+2 +B29) - (COLUMN()-2) &lt;0),"",D26*(1-B27)/(B29+1)*B26)</f>
        <v/>
      </c>
      <c r="Y31" s="55" t="str">
        <f>IF(OR(NOT(D26),(COLUMN()-3)-(B28+2)&lt;0,(B28+2 +B29) - (COLUMN()-2) &lt;0),"",D26*(1-B27)/(B29+1)*B26)</f>
        <v/>
      </c>
      <c r="Z31" s="55" t="str">
        <f>IF(OR(NOT(D26),(COLUMN()-3)-(B28+2)&lt;0,(B28+2 +B29) - (COLUMN()-2) &lt;0),"",D26*(1-B27)/(B29+1)*B26)</f>
        <v/>
      </c>
      <c r="AA31" s="91"/>
      <c r="AB31" s="91"/>
      <c r="AC31" s="91"/>
      <c r="AD31" s="91"/>
      <c r="AE31" s="91"/>
      <c r="AF31" s="91"/>
      <c r="AG31" s="91"/>
      <c r="AH31" s="91"/>
      <c r="AI31" s="91"/>
      <c r="AJ31" s="91"/>
    </row>
    <row r="32" spans="1:48" hidden="1">
      <c r="A32" s="91"/>
      <c r="B32" s="91"/>
      <c r="C32" s="91"/>
      <c r="D32" s="91"/>
      <c r="E32" s="91"/>
      <c r="F32" s="50" t="str">
        <f>IF(OR(NOT(E26),(COLUMN()-3)-(B28+3)&lt;0,(B28+3+B29) - (COLUMN()-2) &lt;0),"",E26*(1-B27)/(B29+1)*B26)</f>
        <v/>
      </c>
      <c r="G32" s="50" t="str">
        <f>IF(OR(NOT(E26),(COLUMN()-3)-(B28+3)&lt;0,(B28+3+B29) - (COLUMN()-2) &lt;0),"",E26*(1-B27)/(B29+1)*B26)</f>
        <v/>
      </c>
      <c r="H32" s="50" t="str">
        <f>IF(OR(NOT(E26),(COLUMN()-3)-(B28+3)&lt;0,(B28+3+B29) - (COLUMN()-2) &lt;0),"",E26*(1-B27)/(B29+1)*B26)</f>
        <v/>
      </c>
      <c r="I32" s="50" t="str">
        <f>IF(OR(NOT(E26),(COLUMN()-3)-(B28+3)&lt;0,(B28+3+B29) - (COLUMN()-2) &lt;0),"",E26*(1-B27)/(B29+1)*B26)</f>
        <v/>
      </c>
      <c r="J32" s="50" t="str">
        <f>IF(OR(NOT(E26),(COLUMN()-3)-(B28+3)&lt;0,(B28+3+B29) - (COLUMN()-2) &lt;0),"",E26*(1-B27)/(B29+1)*B26)</f>
        <v/>
      </c>
      <c r="K32" s="50" t="str">
        <f>IF(OR(NOT(E26),(COLUMN()-3)-(B28+3)&lt;0,(B28+3+B29) - (COLUMN()-2) &lt;0),"",E26*(1-B27)/(B29+1)*B26)</f>
        <v/>
      </c>
      <c r="L32" s="50" t="str">
        <f>IF(OR(NOT(E26),(COLUMN()-3)-(B28+3)&lt;0,(B28+3+B29) - (COLUMN()-2) &lt;0),"",E26*(1-B27)/(B29+1)*B26)</f>
        <v/>
      </c>
      <c r="M32" s="50" t="str">
        <f>IF(OR(NOT(E26),(COLUMN()-3)-(B28+3)&lt;0,(B28+3+B29) - (COLUMN()-2) &lt;0),"",E26*(1-B27)/(B29+1)*B26)</f>
        <v/>
      </c>
      <c r="N32" s="50" t="str">
        <f>IF(OR(NOT(E26),(COLUMN()-3)-(B28+3)&lt;0,(B28+3+B29) - (COLUMN()-2) &lt;0),"",E26*(1-B27)/(B29+1)*B26)</f>
        <v/>
      </c>
      <c r="O32" s="55" t="str">
        <f>IF(OR(NOT(E26),(COLUMN()-3)-(B28+3)&lt;0,(B28+3+B29) - (COLUMN()-2) &lt;0),"",E26*(1-B27)/(B29+1)*B26)</f>
        <v/>
      </c>
      <c r="P32" s="55" t="str">
        <f>IF(OR(NOT(E26),(COLUMN()-3)-(B28+3)&lt;0,(B28+3+B29) - (COLUMN()-2) &lt;0),"",E26*(1-B27)/(B29+1)*B26)</f>
        <v/>
      </c>
      <c r="Q32" s="55" t="str">
        <f>IF(OR(NOT(E26),(COLUMN()-3)-(B28+3)&lt;0,(B28+3+B29) - (COLUMN()-2) &lt;0),"",E26*(1-B27)/(B29+1)*B26)</f>
        <v/>
      </c>
      <c r="R32" s="55" t="str">
        <f>IF(OR(NOT(E26),(COLUMN()-3)-(B28+3)&lt;0,(B28+3+B29) - (COLUMN()-2) &lt;0),"",E26*(1-B27)/(B29+1)*B26)</f>
        <v/>
      </c>
      <c r="S32" s="55" t="str">
        <f>IF(OR(NOT(E26),(COLUMN()-3)-(B28+3)&lt;0,(B28+3+B29) - (COLUMN()-2) &lt;0),"",E26*(1-B27)/(B29+1)*B26)</f>
        <v/>
      </c>
      <c r="T32" s="55" t="str">
        <f>IF(OR(NOT(E26),(COLUMN()-3)-(B28+3)&lt;0,(B28+3+B29) - (COLUMN()-2) &lt;0),"",E26*(1-B27)/(B29+1)*B26)</f>
        <v/>
      </c>
      <c r="U32" s="55" t="str">
        <f>IF(OR(NOT(E26),(COLUMN()-3)-(B28+3)&lt;0,(B28+3+B29) - (COLUMN()-2) &lt;0),"",E26*(1-B27)/(B29+1)*B26)</f>
        <v/>
      </c>
      <c r="V32" s="55" t="str">
        <f>IF(OR(NOT(E26),(COLUMN()-3)-(B28+3)&lt;0,(B28+3+B29) - (COLUMN()-2) &lt;0),"",E26*(1-B27)/(B29+1)*B26)</f>
        <v/>
      </c>
      <c r="W32" s="55" t="str">
        <f>IF(OR(NOT(E26),(COLUMN()-3)-(B28+3)&lt;0,(B28+3+B29) - (COLUMN()-2) &lt;0),"",E26*(1-B27)/(B29+1)*B26)</f>
        <v/>
      </c>
      <c r="X32" s="55" t="str">
        <f>IF(OR(NOT(E26),(COLUMN()-3)-(B28+3)&lt;0,(B28+3+B29) - (COLUMN()-2) &lt;0),"",E26*(1-B27)/(B29+1)*B26)</f>
        <v/>
      </c>
      <c r="Y32" s="55" t="str">
        <f>IF(OR(NOT(E26),(COLUMN()-3)-(B28+3)&lt;0,(B28+3+B29) - (COLUMN()-2) &lt;0),"",E26*(1-B27)/(B29+1)*B26)</f>
        <v/>
      </c>
      <c r="Z32" s="55" t="str">
        <f>IF(OR(NOT(E26),(COLUMN()-3)-(B28+3)&lt;0,(B28+3+B29) - (COLUMN()-2) &lt;0),"",E26*(1-B27)/(B29+1)*B26)</f>
        <v/>
      </c>
      <c r="AA32" s="56" t="str">
        <f>IF(OR(NOT(E26),(COLUMN()-3)-(B28+3)&lt;0,(B28+3+B29) - (COLUMN()-2) &lt;0),"",E26*(1-B27)/(B29+1)*B26)</f>
        <v/>
      </c>
      <c r="AB32" s="91"/>
      <c r="AC32" s="91"/>
      <c r="AD32" s="91"/>
      <c r="AE32" s="91"/>
      <c r="AF32" s="91"/>
      <c r="AG32" s="91"/>
      <c r="AH32" s="91"/>
      <c r="AI32" s="91"/>
      <c r="AJ32" s="91"/>
    </row>
    <row r="33" spans="1:38" hidden="1">
      <c r="A33" s="91"/>
      <c r="B33" s="91"/>
      <c r="C33" s="91"/>
      <c r="D33" s="91"/>
      <c r="E33" s="91"/>
      <c r="F33" s="91"/>
      <c r="G33" s="50" t="str">
        <f>IF(OR(NOT(F26),(COLUMN()-3)-(B28+4)&lt;0,(B28+4+B29) - (COLUMN()-2) &lt;0),"",F26*(1-B27)/(B29+1)*B26)</f>
        <v/>
      </c>
      <c r="H33" s="50" t="str">
        <f>IF(OR(NOT(F26),(COLUMN()-3)-(B28+4)&lt;0,(B28+4+B29) - (COLUMN()-2) &lt;0),"",F26*(1-B27)/(B29+1)*B26)</f>
        <v/>
      </c>
      <c r="I33" s="50" t="str">
        <f>IF(OR(NOT(F26),(COLUMN()-3)-(B28+4)&lt;0,(B28+4+B29) - (COLUMN()-2) &lt;0),"",F26*(1-B27)/(B29+1)*B26)</f>
        <v/>
      </c>
      <c r="J33" s="50" t="str">
        <f>IF(OR(NOT(F26),(COLUMN()-3)-(B28+4)&lt;0,(B28+4+B29) - (COLUMN()-2) &lt;0),"",F26*(1-B27)/(B29+1)*B26)</f>
        <v/>
      </c>
      <c r="K33" s="50" t="str">
        <f>IF(OR(NOT(F26),(COLUMN()-3)-(B28+4)&lt;0,(B28+4+B29) - (COLUMN()-2) &lt;0),"",F26*(1-B27)/(B29+1)*B26)</f>
        <v/>
      </c>
      <c r="L33" s="50" t="str">
        <f>IF(OR(NOT(F26),(COLUMN()-3)-(B28+4)&lt;0,(B28+4+B29) - (COLUMN()-2) &lt;0),"",F26*(1-B27)/(B29+1)*B26)</f>
        <v/>
      </c>
      <c r="M33" s="50" t="str">
        <f>IF(OR(NOT(F26),(COLUMN()-3)-(B28+4)&lt;0,(B28+4+B29) - (COLUMN()-2) &lt;0),"",F26*(1-B27)/(B29+1)*B26)</f>
        <v/>
      </c>
      <c r="N33" s="50" t="str">
        <f>IF(OR(NOT(F26),(COLUMN()-3)-(B28+4)&lt;0,(B28+4+B29) - (COLUMN()-2) &lt;0),"",F26*(1-B27)/(B29+1)*B26)</f>
        <v/>
      </c>
      <c r="O33" s="55" t="str">
        <f>IF(OR(NOT(F26),(COLUMN()-3)-(B28+4)&lt;0,(B28+4+B29) - (COLUMN()-2) &lt;0),"",F26*(1-B27)/(B29+1)*B26)</f>
        <v/>
      </c>
      <c r="P33" s="55" t="str">
        <f>IF(OR(NOT(F26),(COLUMN()-3)-(B28+4)&lt;0,(B28+4+B29) - (COLUMN()-2) &lt;0),"",F26*(1-B27)/(B29+1)*B26)</f>
        <v/>
      </c>
      <c r="Q33" s="55" t="str">
        <f>IF(OR(NOT(F26),(COLUMN()-3)-(B28+4)&lt;0,(B28+4+B29) - (COLUMN()-2) &lt;0),"",F26*(1-B27)/(B29+1)*B26)</f>
        <v/>
      </c>
      <c r="R33" s="55" t="str">
        <f>IF(OR(NOT(F26),(COLUMN()-3)-(B28+4)&lt;0,(B28+4+B29) - (COLUMN()-2) &lt;0),"",F26*(1-B27)/(B29+1)*B26)</f>
        <v/>
      </c>
      <c r="S33" s="55" t="str">
        <f>IF(OR(NOT(F26),(COLUMN()-3)-(B28+4)&lt;0,(B28+4+B29) - (COLUMN()-2) &lt;0),"",F26*(1-B27)/(B29+1)*B26)</f>
        <v/>
      </c>
      <c r="T33" s="55" t="str">
        <f>IF(OR(NOT(F26),(COLUMN()-3)-(B28+4)&lt;0,(B28+4+B29) - (COLUMN()-2) &lt;0),"",F26*(1-B27)/(B29+1)*B26)</f>
        <v/>
      </c>
      <c r="U33" s="55" t="str">
        <f>IF(OR(NOT(F26),(COLUMN()-3)-(B28+4)&lt;0,(B28+4+B29) - (COLUMN()-2) &lt;0),"",F26*(1-B27)/(B29+1)*B26)</f>
        <v/>
      </c>
      <c r="V33" s="55" t="str">
        <f>IF(OR(NOT(F26),(COLUMN()-3)-(B28+4)&lt;0,(B28+4+B29) - (COLUMN()-2) &lt;0),"",F26*(1-B27)/(B29+1)*B26)</f>
        <v/>
      </c>
      <c r="W33" s="55" t="str">
        <f>IF(OR(NOT(F26),(COLUMN()-3)-(B28+4)&lt;0,(B28+4+B29) - (COLUMN()-2) &lt;0),"",F26*(1-B27)/(B29+1)*B26)</f>
        <v/>
      </c>
      <c r="X33" s="55" t="str">
        <f>IF(OR(NOT(F26),(COLUMN()-3)-(B28+4)&lt;0,(B28+4+B29) - (COLUMN()-2) &lt;0),"",F26*(1-B27)/(B29+1)*B26)</f>
        <v/>
      </c>
      <c r="Y33" s="55" t="str">
        <f>IF(OR(NOT(F26),(COLUMN()-3)-(B28+4)&lt;0,(B28+4+B29) - (COLUMN()-2) &lt;0),"",F26*(1-B27)/(B29+1)*B26)</f>
        <v/>
      </c>
      <c r="Z33" s="55" t="str">
        <f>IF(OR(NOT(F26),(COLUMN()-3)-(B28+4)&lt;0,(B28+4+B29) - (COLUMN()-2) &lt;0),"",F26*(1-B27)/(B29+1)*B26)</f>
        <v/>
      </c>
      <c r="AA33" s="56" t="str">
        <f>IF(OR(NOT(F26),(COLUMN()-3)-(B28+4)&lt;0,(B28+4+B29) - (COLUMN()-2) &lt;0),"",F26*(1-B27)/(B29+1)*B26)</f>
        <v/>
      </c>
      <c r="AB33" s="56" t="str">
        <f>IF(OR(NOT(F26),(COLUMN()-3)-(B28+4)&lt;0,(B28+4+B29) - (COLUMN()-2) &lt;0),"",F26*(1-B27)/(B29+1)*B26)</f>
        <v/>
      </c>
      <c r="AC33" s="91"/>
      <c r="AD33" s="91"/>
      <c r="AE33" s="91"/>
      <c r="AF33" s="91"/>
      <c r="AG33" s="91"/>
      <c r="AH33" s="91"/>
      <c r="AI33" s="91"/>
      <c r="AJ33" s="91"/>
    </row>
    <row r="34" spans="1:38" hidden="1">
      <c r="A34" s="91"/>
      <c r="B34" s="91"/>
      <c r="C34" s="91"/>
      <c r="D34" s="91"/>
      <c r="E34" s="91"/>
      <c r="F34" s="91"/>
      <c r="G34" s="91"/>
      <c r="H34" s="50" t="str">
        <f>IF(OR(NOT(G26),(COLUMN()-3)-(B28+5)&lt;0,(B28+5+B29) - (COLUMN()-2) &lt;0),"",G26*(1-B27)/(B29+1)*B26)</f>
        <v/>
      </c>
      <c r="I34" s="50" t="str">
        <f>IF(OR(NOT(G26),(COLUMN()-3)-(B28+5)&lt;0,(B28+5+B29) - (COLUMN()-2) &lt;0),"",G26*(1-B27)/(B29+1)*B26)</f>
        <v/>
      </c>
      <c r="J34" s="50" t="str">
        <f>IF(OR(NOT(G26),(COLUMN()-3)-(B28+5)&lt;0,(B28+5+B29) - (COLUMN()-2) &lt;0),"",G26*(1-B27)/(B29+1)*B26)</f>
        <v/>
      </c>
      <c r="K34" s="50" t="str">
        <f>IF(OR(NOT(G26),(COLUMN()-3)-(B28+5)&lt;0,(B28+5+B29) - (COLUMN()-2) &lt;0),"",G26*(1-B27)/(B29+1)*B26)</f>
        <v/>
      </c>
      <c r="L34" s="50" t="str">
        <f>IF(OR(NOT(G26),(COLUMN()-3)-(B28+5)&lt;0,(B28+5+B29) - (COLUMN()-2) &lt;0),"",G26*(1-B27)/(B29+1)*B26)</f>
        <v/>
      </c>
      <c r="M34" s="50" t="str">
        <f>IF(OR(NOT(G26),(COLUMN()-3)-(B28+5)&lt;0,(B28+5+B29) - (COLUMN()-2) &lt;0),"",G26*(1-B27)/(B29+1)*B26)</f>
        <v/>
      </c>
      <c r="N34" s="50" t="str">
        <f>IF(OR(NOT(G26),(COLUMN()-3)-(B28+5)&lt;0,(B28+5+B29) - (COLUMN()-2) &lt;0),"",G26*(1-B27)/(B29+1)*B26)</f>
        <v/>
      </c>
      <c r="O34" s="55" t="str">
        <f>IF(OR(NOT(G26),(COLUMN()-3)-(B28+5)&lt;0,(B28+5+B29) - (COLUMN()-2) &lt;0),"",G26*(1-B27)/(B29+1)*B26)</f>
        <v/>
      </c>
      <c r="P34" s="55" t="str">
        <f>IF(OR(NOT(G26),(COLUMN()-3)-(B28+5)&lt;0,(B28+5+B29) - (COLUMN()-2) &lt;0),"",G26*(1-B27)/(B29+1)*B26)</f>
        <v/>
      </c>
      <c r="Q34" s="55" t="str">
        <f>IF(OR(NOT(G26),(COLUMN()-3)-(B28+5)&lt;0,(B28+5+B29) - (COLUMN()-2) &lt;0),"",G26*(1-B27)/(B29+1)*B26)</f>
        <v/>
      </c>
      <c r="R34" s="55" t="str">
        <f>IF(OR(NOT(G26),(COLUMN()-3)-(B28+5)&lt;0,(B28+5+B29) - (COLUMN()-2) &lt;0),"",G26*(1-B27)/(B29+1)*B26)</f>
        <v/>
      </c>
      <c r="S34" s="55" t="str">
        <f>IF(OR(NOT(G26),(COLUMN()-3)-(B28+5)&lt;0,(B28+5+B29) - (COLUMN()-2) &lt;0),"",G26*(1-B27)/(B29+1)*B26)</f>
        <v/>
      </c>
      <c r="T34" s="55" t="str">
        <f>IF(OR(NOT(G26),(COLUMN()-3)-(B28+5)&lt;0,(B28+5+B29) - (COLUMN()-2) &lt;0),"",G26*(1-B27)/(B29+1)*B26)</f>
        <v/>
      </c>
      <c r="U34" s="55" t="str">
        <f>IF(OR(NOT(G26),(COLUMN()-3)-(B28+5)&lt;0,(B28+5+B29) - (COLUMN()-2) &lt;0),"",G26*(1-B27)/(B29+1)*B26)</f>
        <v/>
      </c>
      <c r="V34" s="55" t="str">
        <f>IF(OR(NOT(G26),(COLUMN()-3)-(B28+5)&lt;0,(B28+5+B29) - (COLUMN()-2) &lt;0),"",G26*(1-B27)/(B29+1)*B26)</f>
        <v/>
      </c>
      <c r="W34" s="55" t="str">
        <f>IF(OR(NOT(G26),(COLUMN()-3)-(B28+5)&lt;0,(B28+5+B29) - (COLUMN()-2) &lt;0),"",G26*(1-B27)/(B29+1)*B26)</f>
        <v/>
      </c>
      <c r="X34" s="55" t="str">
        <f>IF(OR(NOT(G26),(COLUMN()-3)-(B28+5)&lt;0,(B28+5+B29) - (COLUMN()-2) &lt;0),"",G26*(1-B27)/(B29+1)*B26)</f>
        <v/>
      </c>
      <c r="Y34" s="55" t="str">
        <f>IF(OR(NOT(G26),(COLUMN()-3)-(B28+5)&lt;0,(B28+5+B29) - (COLUMN()-2) &lt;0),"",G26*(1-B27)/(B29+1)*B26)</f>
        <v/>
      </c>
      <c r="Z34" s="55" t="str">
        <f>IF(OR(NOT(G26),(COLUMN()-3)-(B28+5)&lt;0,(B28+5+B29) - (COLUMN()-2) &lt;0),"",G26*(1-B27)/(B29+1)*B26)</f>
        <v/>
      </c>
      <c r="AA34" s="56" t="str">
        <f>IF(OR(NOT(G26),(COLUMN()-3)-(B28+5)&lt;0,(B28+5+B29) - (COLUMN()-2) &lt;0),"",G26*(1-B27)/(B29+1)*B26)</f>
        <v/>
      </c>
      <c r="AB34" s="56" t="str">
        <f>IF(OR(NOT(G26),(COLUMN()-3)-(B28+5)&lt;0,(B28+5+B29) - (COLUMN()-2) &lt;0),"",G26*(1-B27)/(B29+1)*B26)</f>
        <v/>
      </c>
      <c r="AC34" s="56" t="str">
        <f>IF(OR(NOT(G26),(COLUMN()-3)-(B28+5)&lt;0,(B28+5+B29) - (COLUMN()-2) &lt;0),"",G26*(1-B27)/(B29+1)*B26)</f>
        <v/>
      </c>
      <c r="AD34" s="91"/>
      <c r="AE34" s="91"/>
      <c r="AF34" s="91"/>
      <c r="AG34" s="91"/>
      <c r="AH34" s="91"/>
      <c r="AI34" s="91"/>
      <c r="AJ34" s="91"/>
    </row>
    <row r="35" spans="1:38" hidden="1">
      <c r="A35" s="91"/>
      <c r="B35" s="91"/>
      <c r="C35" s="91"/>
      <c r="D35" s="91"/>
      <c r="E35" s="91"/>
      <c r="F35" s="91"/>
      <c r="G35" s="91"/>
      <c r="H35" s="91"/>
      <c r="I35" s="50" t="str">
        <f>IF(OR(NOT(H26),(COLUMN()-3)-(B28+6)&lt;0,(B28+6+B29) - (COLUMN()-2) &lt;0),"",H26*(1-B27)/(B29+1)*B26)</f>
        <v/>
      </c>
      <c r="J35" s="50" t="str">
        <f>IF(OR(NOT(H26),(COLUMN()-3)-(B28+6)&lt;0,(B28+6+B29) - (COLUMN()-2) &lt;0),"",H26*(1-B27)/(B29+1)*B26)</f>
        <v/>
      </c>
      <c r="K35" s="50" t="str">
        <f>IF(OR(NOT(H26),(COLUMN()-3)-(B28+6)&lt;0,(B28+6+B29) - (COLUMN()-2) &lt;0),"",H26*(1-B27)/(B29+1)*B26)</f>
        <v/>
      </c>
      <c r="L35" s="50" t="str">
        <f>IF(OR(NOT(H26),(COLUMN()-3)-(B28+6)&lt;0,(B28+6+B29) - (COLUMN()-2) &lt;0),"",H26*(1-B27)/(B29+1)*B26)</f>
        <v/>
      </c>
      <c r="M35" s="50" t="str">
        <f>IF(OR(NOT(H26),(COLUMN()-3)-(B28+6)&lt;0,(B28+6+B29) - (COLUMN()-2) &lt;0),"",H26*(1-B27)/(B29+1)*B26)</f>
        <v/>
      </c>
      <c r="N35" s="50" t="str">
        <f>IF(OR(NOT(H26),(COLUMN()-3)-(B28+6)&lt;0,(B28+6+B29) - (COLUMN()-2) &lt;0),"",H26*(1-B27)/(B29+1)*B26)</f>
        <v/>
      </c>
      <c r="O35" s="55" t="str">
        <f>IF(OR(NOT(H26),(COLUMN()-3)-(B28+6)&lt;0,(B28+6+B29) - (COLUMN()-2) &lt;0),"",H26*(1-B27)/(B29+1)*B26)</f>
        <v/>
      </c>
      <c r="P35" s="55" t="str">
        <f>IF(OR(NOT(H26),(COLUMN()-3)-(B28+6)&lt;0,(B28+6+B29) - (COLUMN()-2) &lt;0),"",H26*(1-B27)/(B29+1)*B26)</f>
        <v/>
      </c>
      <c r="Q35" s="55" t="str">
        <f>IF(OR(NOT(H26),(COLUMN()-3)-(B28+6)&lt;0,(B28+6+B29) - (COLUMN()-2) &lt;0),"",H26*(1-B27)/(B29+1)*B26)</f>
        <v/>
      </c>
      <c r="R35" s="55" t="str">
        <f>IF(OR(NOT(H26),(COLUMN()-3)-(B28+6)&lt;0,(B28+6+B29) - (COLUMN()-2) &lt;0),"",H26*(1-B27)/(B29+1)*B26)</f>
        <v/>
      </c>
      <c r="S35" s="55" t="str">
        <f>IF(OR(NOT(H26),(COLUMN()-3)-(B28+6)&lt;0,(B28+6+B29) - (COLUMN()-2) &lt;0),"",H26*(1-B27)/(B29+1)*B26)</f>
        <v/>
      </c>
      <c r="T35" s="55" t="str">
        <f>IF(OR(NOT(H26),(COLUMN()-3)-(B28+6)&lt;0,(B28+6+B29) - (COLUMN()-2) &lt;0),"",H26*(1-B27)/(B29+1)*B26)</f>
        <v/>
      </c>
      <c r="U35" s="55" t="str">
        <f>IF(OR(NOT(H26),(COLUMN()-3)-(B28+6)&lt;0,(B28+6+B29) - (COLUMN()-2) &lt;0),"",H26*(1-B27)/(B29+1)*B26)</f>
        <v/>
      </c>
      <c r="V35" s="55" t="str">
        <f>IF(OR(NOT(H26),(COLUMN()-3)-(B28+6)&lt;0,(B28+6+B29) - (COLUMN()-2) &lt;0),"",H26*(1-B27)/(B29+1)*B26)</f>
        <v/>
      </c>
      <c r="W35" s="55" t="str">
        <f>IF(OR(NOT(H26),(COLUMN()-3)-(B28+6)&lt;0,(B28+6+B29) - (COLUMN()-2) &lt;0),"",H26*(1-B27)/(B29+1)*B26)</f>
        <v/>
      </c>
      <c r="X35" s="55" t="str">
        <f>IF(OR(NOT(H26),(COLUMN()-3)-(B28+6)&lt;0,(B28+6+B29) - (COLUMN()-2) &lt;0),"",H26*(1-B27)/(B29+1)*B26)</f>
        <v/>
      </c>
      <c r="Y35" s="55" t="str">
        <f>IF(OR(NOT(H26),(COLUMN()-3)-(B28+6)&lt;0,(B28+6+B29) - (COLUMN()-2) &lt;0),"",H26*(1-B27)/(B29+1)*B26)</f>
        <v/>
      </c>
      <c r="Z35" s="55" t="str">
        <f>IF(OR(NOT(H26),(COLUMN()-3)-(B28+6)&lt;0,(B28+6+B29) - (COLUMN()-2) &lt;0),"",H26*(1-B27)/(B29+1)*B26)</f>
        <v/>
      </c>
      <c r="AA35" s="56" t="str">
        <f>IF(OR(NOT(H26),(COLUMN()-3)-(B28+6)&lt;0,(B28+6+B29) - (COLUMN()-2) &lt;0),"",H26*(1-B27)/(B29+1)*B26)</f>
        <v/>
      </c>
      <c r="AB35" s="56" t="str">
        <f>IF(OR(NOT(H26),(COLUMN()-3)-(B28+6)&lt;0,(B28+6+B29) - (COLUMN()-2) &lt;0),"",H26*(1-B27)/(B29+1)*B26)</f>
        <v/>
      </c>
      <c r="AC35" s="56" t="str">
        <f>IF(OR(NOT(H26),(COLUMN()-3)-(B28+6)&lt;0,(B28+6+B29) - (COLUMN()-2) &lt;0),"",H26*(1-B27)/(B29+1)*B26)</f>
        <v/>
      </c>
      <c r="AD35" s="56" t="str">
        <f>IF(OR(NOT(H26),(COLUMN()-3)-(B28+6)&lt;0,(B28+6+B29) - (COLUMN()-2) &lt;0),"",H26*(1-B27)/(B29+1)*B26)</f>
        <v/>
      </c>
      <c r="AE35" s="91"/>
      <c r="AF35" s="91"/>
      <c r="AG35" s="91"/>
      <c r="AH35" s="91"/>
      <c r="AI35" s="91"/>
      <c r="AJ35" s="91"/>
    </row>
    <row r="36" spans="1:38" hidden="1">
      <c r="A36" s="91"/>
      <c r="B36" s="91"/>
      <c r="C36" s="91"/>
      <c r="D36" s="91"/>
      <c r="E36" s="91"/>
      <c r="F36" s="91"/>
      <c r="G36" s="91"/>
      <c r="H36" s="91"/>
      <c r="I36" s="91"/>
      <c r="J36" s="50" t="str">
        <f>IF(OR(NOT(I26),(COLUMN()-3)-(B28+7)&lt;0,(B28+7+B29) - (COLUMN()-2) &lt;0),"",I26*(1-B27)/(B29+1)*B26)</f>
        <v/>
      </c>
      <c r="K36" s="50" t="str">
        <f>IF(OR(NOT(I26),(COLUMN()-3)-(B28+7)&lt;0,(B28+7+B29) - (COLUMN()-2) &lt;0),"",I26*(1-B27)/(B29+1)*B26)</f>
        <v/>
      </c>
      <c r="L36" s="50" t="str">
        <f>IF(OR(NOT(I26),(COLUMN()-3)-(B28+7)&lt;0,(B28+7+B29) - (COLUMN()-2) &lt;0),"",I26*(1-B27)/(B29+1)*B26)</f>
        <v/>
      </c>
      <c r="M36" s="50" t="str">
        <f>IF(OR(NOT(I26),(COLUMN()-3)-(B28+7)&lt;0,(B28+7+B29) - (COLUMN()-2) &lt;0),"",I26*(1-B27)/(B29+1)*B26)</f>
        <v/>
      </c>
      <c r="N36" s="50" t="str">
        <f>IF(OR(NOT(I26),(COLUMN()-3)-(B28+7)&lt;0,(B28+7+B29) - (COLUMN()-2) &lt;0),"",I26*(1-B27)/(B29+1)*B26)</f>
        <v/>
      </c>
      <c r="O36" s="55" t="str">
        <f>IF(OR(NOT(I26),(COLUMN()-3)-(B28+7)&lt;0,(B28+7+B29) - (COLUMN()-2) &lt;0),"",I26*(1-B27)/(B29+1)*B26)</f>
        <v/>
      </c>
      <c r="P36" s="55" t="str">
        <f>IF(OR(NOT(I26),(COLUMN()-3)-(B28+7)&lt;0,(B28+7+B29) - (COLUMN()-2) &lt;0),"",I26*(1-B27)/(B29+1)*B26)</f>
        <v/>
      </c>
      <c r="Q36" s="55" t="str">
        <f>IF(OR(NOT(I26),(COLUMN()-3)-(B28+7)&lt;0,(B28+7+B29) - (COLUMN()-2) &lt;0),"",I26*(1-B27)/(B29+1)*B26)</f>
        <v/>
      </c>
      <c r="R36" s="55" t="str">
        <f>IF(OR(NOT(I26),(COLUMN()-3)-(B28+7)&lt;0,(B28+7+B29) - (COLUMN()-2) &lt;0),"",I26*(1-B27)/(B29+1)*B26)</f>
        <v/>
      </c>
      <c r="S36" s="55" t="str">
        <f>IF(OR(NOT(I26),(COLUMN()-3)-(B28+7)&lt;0,(B28+7+B29) - (COLUMN()-2) &lt;0),"",I26*(1-B27)/(B29+1)*B26)</f>
        <v/>
      </c>
      <c r="T36" s="55" t="str">
        <f>IF(OR(NOT(I26),(COLUMN()-3)-(B28+7)&lt;0,(B28+7+B29) - (COLUMN()-2) &lt;0),"",I26*(1-B27)/(B29+1)*B26)</f>
        <v/>
      </c>
      <c r="U36" s="55" t="str">
        <f>IF(OR(NOT(I26),(COLUMN()-3)-(B28+7)&lt;0,(B28+7+B29) - (COLUMN()-2) &lt;0),"",I26*(1-B27)/(B29+1)*B26)</f>
        <v/>
      </c>
      <c r="V36" s="55" t="str">
        <f>IF(OR(NOT(I26),(COLUMN()-3)-(B28+7)&lt;0,(B28+7+B29) - (COLUMN()-2) &lt;0),"",I26*(1-B27)/(B29+1)*B26)</f>
        <v/>
      </c>
      <c r="W36" s="55" t="str">
        <f>IF(OR(NOT(I26),(COLUMN()-3)-(B28+7)&lt;0,(B28+7+B29) - (COLUMN()-2) &lt;0),"",I26*(1-B27)/(B29+1)*B26)</f>
        <v/>
      </c>
      <c r="X36" s="55" t="str">
        <f>IF(OR(NOT(I26),(COLUMN()-3)-(B28+7)&lt;0,(B28+7+B29) - (COLUMN()-2) &lt;0),"",I26*(1-B27)/(B29+1)*B26)</f>
        <v/>
      </c>
      <c r="Y36" s="55" t="str">
        <f>IF(OR(NOT(I26),(COLUMN()-3)-(B28+7)&lt;0,(B28+7+B29) - (COLUMN()-2) &lt;0),"",I26*(1-B27)/(B29+1)*B26)</f>
        <v/>
      </c>
      <c r="Z36" s="55" t="str">
        <f>IF(OR(NOT(I26),(COLUMN()-3)-(B28+7)&lt;0,(B28+7+B29) - (COLUMN()-2) &lt;0),"",I26*(1-B27)/(B29+1)*B26)</f>
        <v/>
      </c>
      <c r="AA36" s="56" t="str">
        <f>IF(OR(NOT(I26),(COLUMN()-3)-(B28+7)&lt;0,(B28+7+B29) - (COLUMN()-2) &lt;0),"",I26*(1-B27)/(B29+1)*B26)</f>
        <v/>
      </c>
      <c r="AB36" s="56" t="str">
        <f>IF(OR(NOT(I26),(COLUMN()-3)-(B28+7)&lt;0,(B28+7+B29) - (COLUMN()-2) &lt;0),"",I26*(1-B27)/(B29+1)*B26)</f>
        <v/>
      </c>
      <c r="AC36" s="56" t="str">
        <f>IF(OR(NOT(I26),(COLUMN()-3)-(B28+7)&lt;0,(B28+7+B29) - (COLUMN()-2) &lt;0),"",I26*(1-B27)/(B29+1)*B26)</f>
        <v/>
      </c>
      <c r="AD36" s="56" t="str">
        <f>IF(OR(NOT(I26),(COLUMN()-3)-(B28+7)&lt;0,(B28+7+B29) - (COLUMN()-2) &lt;0),"",I26*(1-B27)/(B29+1)*B26)</f>
        <v/>
      </c>
      <c r="AE36" s="56" t="str">
        <f>IF(OR(NOT(I26),(COLUMN()-3)-(B28+7)&lt;0,(B28+7+B29) - (COLUMN()-2) &lt;0),"",I26*(1-B27)/(B29+1)*B26)</f>
        <v/>
      </c>
      <c r="AF36" s="91"/>
      <c r="AG36" s="91"/>
      <c r="AH36" s="91"/>
      <c r="AI36" s="91"/>
      <c r="AJ36" s="91"/>
    </row>
    <row r="37" spans="1:38" hidden="1">
      <c r="A37" s="91"/>
      <c r="B37" s="91"/>
      <c r="C37" s="91"/>
      <c r="D37" s="91"/>
      <c r="E37" s="91"/>
      <c r="F37" s="91"/>
      <c r="G37" s="91"/>
      <c r="H37" s="91"/>
      <c r="I37" s="91"/>
      <c r="J37" s="91"/>
      <c r="K37" s="50" t="str">
        <f>IF(OR(NOT(J26),(COLUMN()-3)-(B28+8)&lt;0,(B28+8+B29) - (COLUMN()-2) &lt;0),"",J26*(1-B27)/(B29+1)*B26)</f>
        <v/>
      </c>
      <c r="L37" s="50" t="str">
        <f>IF(OR(NOT(J26),(COLUMN()-3)-(B28+8)&lt;0,(B28+8+B29) - (COLUMN()-2) &lt;0),"",J26*(1-B27)/(B29+1)*B26)</f>
        <v/>
      </c>
      <c r="M37" s="50" t="str">
        <f>IF(OR(NOT(J26),(COLUMN()-3)-(B28+8)&lt;0,(B28+8+B29) - (COLUMN()-2) &lt;0),"",J26*(1-B27)/(B29+1)*B26)</f>
        <v/>
      </c>
      <c r="N37" s="50" t="str">
        <f>IF(OR(NOT(J26),(COLUMN()-3)-(B28+8)&lt;0,(B28+8+B29) - (COLUMN()-2) &lt;0),"",J26*(1-B27)/(B29+1)*B26)</f>
        <v/>
      </c>
      <c r="O37" s="55" t="str">
        <f>IF(OR(NOT(J26),(COLUMN()-3)-(B28+8)&lt;0,(B28+8+B29) - (COLUMN()-2) &lt;0),"",J26*(1-B27)/(B29+1)*B26)</f>
        <v/>
      </c>
      <c r="P37" s="55" t="str">
        <f>IF(OR(NOT(J26),(COLUMN()-3)-(B28+8)&lt;0,(B28+8+B29) - (COLUMN()-2) &lt;0),"",J26*(1-B27)/(B29+1)*B26)</f>
        <v/>
      </c>
      <c r="Q37" s="55" t="str">
        <f>IF(OR(NOT(J26),(COLUMN()-3)-(B28+8)&lt;0,(B28+8+B29) - (COLUMN()-2) &lt;0),"",J26*(1-B27)/(B29+1)*B26)</f>
        <v/>
      </c>
      <c r="R37" s="55" t="str">
        <f>IF(OR(NOT(J26),(COLUMN()-3)-(B28+8)&lt;0,(B28+8+B29) - (COLUMN()-2) &lt;0),"",J26*(1-B27)/(B29+1)*B26)</f>
        <v/>
      </c>
      <c r="S37" s="55" t="str">
        <f>IF(OR(NOT(J26),(COLUMN()-3)-(B28+8)&lt;0,(B28+8+B29) - (COLUMN()-2) &lt;0),"",J26*(1-B27)/(B29+1)*B26)</f>
        <v/>
      </c>
      <c r="T37" s="55" t="str">
        <f>IF(OR(NOT(J26),(COLUMN()-3)-(B28+8)&lt;0,(B28+8+B29) - (COLUMN()-2) &lt;0),"",J26*(1-B27)/(B29+1)*B26)</f>
        <v/>
      </c>
      <c r="U37" s="55" t="str">
        <f>IF(OR(NOT(J26),(COLUMN()-3)-(B28+8)&lt;0,(B28+8+B29) - (COLUMN()-2) &lt;0),"",J26*(1-B27)/(B29+1)*B26)</f>
        <v/>
      </c>
      <c r="V37" s="55" t="str">
        <f>IF(OR(NOT(J26),(COLUMN()-3)-(B28+8)&lt;0,(B28+8+B29) - (COLUMN()-2) &lt;0),"",J26*(1-B27)/(B29+1)*B26)</f>
        <v/>
      </c>
      <c r="W37" s="55" t="str">
        <f>IF(OR(NOT(J26),(COLUMN()-3)-(B28+8)&lt;0,(B28+8+B29) - (COLUMN()-2) &lt;0),"",J26*(1-B27)/(B29+1)*B26)</f>
        <v/>
      </c>
      <c r="X37" s="55" t="str">
        <f>IF(OR(NOT(J26),(COLUMN()-3)-(B28+8)&lt;0,(B28+8+B29) - (COLUMN()-2) &lt;0),"",J26*(1-B27)/(B29+1)*B26)</f>
        <v/>
      </c>
      <c r="Y37" s="55" t="str">
        <f>IF(OR(NOT(J26),(COLUMN()-3)-(B28+8)&lt;0,(B28+8+B29) - (COLUMN()-2) &lt;0),"",J26*(1-B27)/(B29+1)*B26)</f>
        <v/>
      </c>
      <c r="Z37" s="55" t="str">
        <f>IF(OR(NOT(J26),(COLUMN()-3)-(B28+8)&lt;0,(B28+8+B29) - (COLUMN()-2) &lt;0),"",J26*(1-B27)/(B29+1)*B26)</f>
        <v/>
      </c>
      <c r="AA37" s="56" t="str">
        <f>IF(OR(NOT(J26),(COLUMN()-3)-(B28+8)&lt;0,(B28+8+B29) - (COLUMN()-2) &lt;0),"",J26*(1-B27)/(B29+1)*B26)</f>
        <v/>
      </c>
      <c r="AB37" s="56" t="str">
        <f>IF(OR(NOT(J26),(COLUMN()-3)-(B28+8)&lt;0,(B28+8+B29) - (COLUMN()-2) &lt;0),"",J26*(1-B27)/(B29+1)*B26)</f>
        <v/>
      </c>
      <c r="AC37" s="56" t="str">
        <f>IF(OR(NOT(J26),(COLUMN()-3)-(B28+8)&lt;0,(B28+8+B29) - (COLUMN()-2) &lt;0),"",J26*(1-B27)/(B29+1)*B26)</f>
        <v/>
      </c>
      <c r="AD37" s="56" t="str">
        <f>IF(OR(NOT(J26),(COLUMN()-3)-(B28+8)&lt;0,(B28+8+B29) - (COLUMN()-2) &lt;0),"",J26*(1-B27)/(B29+1)*B26)</f>
        <v/>
      </c>
      <c r="AE37" s="56" t="str">
        <f>IF(OR(NOT(J26),(COLUMN()-3)-(B28+8)&lt;0,(B28+8+B29) - (COLUMN()-2) &lt;0),"",J26*(1-B27)/(B29+1)*B26)</f>
        <v/>
      </c>
      <c r="AF37" s="56" t="str">
        <f>IF(OR(NOT(J26),(COLUMN()-3)-(B28+8)&lt;0,(B28+8+B29) - (COLUMN()-2) &lt;0),"",J26*(1-B27)/(B29+1)*B26)</f>
        <v/>
      </c>
      <c r="AG37" s="91"/>
      <c r="AH37" s="91"/>
      <c r="AI37" s="91"/>
      <c r="AJ37" s="91"/>
    </row>
    <row r="38" spans="1:38" hidden="1">
      <c r="A38" s="91"/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50" t="str">
        <f>IF(OR(NOT(K26),(COLUMN()-3)-(B28+9)&lt;0,(B28+9+B29) - (COLUMN()-2) &lt;0),"",K26*(1-B27)/(B29+1)*B26)</f>
        <v/>
      </c>
      <c r="M38" s="50" t="str">
        <f>IF(OR(NOT(K26),(COLUMN()-3)-(B28+9)&lt;0,(B28+9+B29) - (COLUMN()-2) &lt;0),"",K26*(1-B27)/(B29+1)*B26)</f>
        <v/>
      </c>
      <c r="N38" s="50" t="str">
        <f>IF(OR(NOT(K26),(COLUMN()-3)-(B28+9)&lt;0,(B28+9+B29) - (COLUMN()-2) &lt;0),"",K26*(1-B27)/(B29+1)*B26)</f>
        <v/>
      </c>
      <c r="O38" s="55" t="str">
        <f>IF(OR(NOT(K26),(COLUMN()-3)-(B28+9)&lt;0,(B28+9+B29) - (COLUMN()-2) &lt;0),"",K26*(1-B27)/(B29+1)*B26)</f>
        <v/>
      </c>
      <c r="P38" s="55" t="str">
        <f>IF(OR(NOT(K26),(COLUMN()-3)-(B28+9)&lt;0,(B28+9+B29) - (COLUMN()-2) &lt;0),"",K26*(1-B27)/(B29+1)*B26)</f>
        <v/>
      </c>
      <c r="Q38" s="55" t="str">
        <f>IF(OR(NOT(K26),(COLUMN()-3)-(B28+9)&lt;0,(B28+9+B29) - (COLUMN()-2) &lt;0),"",K26*(1-B27)/(B29+1)*B26)</f>
        <v/>
      </c>
      <c r="R38" s="55" t="str">
        <f>IF(OR(NOT(K26),(COLUMN()-3)-(B28+9)&lt;0,(B28+9+B29) - (COLUMN()-2) &lt;0),"",K26*(1-B27)/(B29+1)*B26)</f>
        <v/>
      </c>
      <c r="S38" s="55" t="str">
        <f>IF(OR(NOT(K26),(COLUMN()-3)-(B28+9)&lt;0,(B28+9+B29) - (COLUMN()-2) &lt;0),"",K26*(1-B27)/(B29+1)*B26)</f>
        <v/>
      </c>
      <c r="T38" s="55" t="str">
        <f>IF(OR(NOT(K26),(COLUMN()-3)-(B28+9)&lt;0,(B28+9+B29) - (COLUMN()-2) &lt;0),"",K26*(1-B27)/(B29+1)*B26)</f>
        <v/>
      </c>
      <c r="U38" s="55" t="str">
        <f>IF(OR(NOT(K26),(COLUMN()-3)-(B28+9)&lt;0,(B28+9+B29) - (COLUMN()-2) &lt;0),"",K26*(1-B27)/(B29+1)*B26)</f>
        <v/>
      </c>
      <c r="V38" s="55" t="str">
        <f>IF(OR(NOT(K26),(COLUMN()-3)-(B28+9)&lt;0,(B28+9+B29) - (COLUMN()-2) &lt;0),"",K26*(1-B27)/(B29+1)*B26)</f>
        <v/>
      </c>
      <c r="W38" s="55" t="str">
        <f>IF(OR(NOT(K26),(COLUMN()-3)-(B28+9)&lt;0,(B28+9+B29) - (COLUMN()-2) &lt;0),"",K26*(1-B27)/(B29+1)*B26)</f>
        <v/>
      </c>
      <c r="X38" s="55" t="str">
        <f>IF(OR(NOT(K26),(COLUMN()-3)-(B28+9)&lt;0,(B28+9+B29) - (COLUMN()-2) &lt;0),"",K26*(1-B27)/(B29+1)*B26)</f>
        <v/>
      </c>
      <c r="Y38" s="55" t="str">
        <f>IF(OR(NOT(K26),(COLUMN()-3)-(B28+9)&lt;0,(B28+9+B29) - (COLUMN()-2) &lt;0),"",K26*(1-B27)/(B29+1)*B26)</f>
        <v/>
      </c>
      <c r="Z38" s="55" t="str">
        <f>IF(OR(NOT(K26),(COLUMN()-3)-(B28+9)&lt;0,(B28+9+B29) - (COLUMN()-2) &lt;0),"",K26*(1-B27)/(B29+1)*B26)</f>
        <v/>
      </c>
      <c r="AA38" s="56" t="str">
        <f>IF(OR(NOT(K26),(COLUMN()-3)-(B28+9)&lt;0,(B28+9+B29) - (COLUMN()-2) &lt;0),"",K26*(1-B27)/(B29+1)*B26)</f>
        <v/>
      </c>
      <c r="AB38" s="56" t="str">
        <f>IF(OR(NOT(K26),(COLUMN()-3)-(B28+9)&lt;0,(B28+9+B29) - (COLUMN()-2) &lt;0),"",K26*(1-B27)/(B29+1)*B26)</f>
        <v/>
      </c>
      <c r="AC38" s="56" t="str">
        <f>IF(OR(NOT(K26),(COLUMN()-3)-(B28+9)&lt;0,(B28+9+B29) - (COLUMN()-2) &lt;0),"",K26*(1-B27)/(B29+1)*B26)</f>
        <v/>
      </c>
      <c r="AD38" s="56" t="str">
        <f>IF(OR(NOT(K26),(COLUMN()-3)-(B28+9)&lt;0,(B28+9+B29) - (COLUMN()-2) &lt;0),"",K26*(1-B27)/(B29+1)*B26)</f>
        <v/>
      </c>
      <c r="AE38" s="56" t="str">
        <f>IF(OR(NOT(K26),(COLUMN()-3)-(B28+9)&lt;0,(B28+9+B29) - (COLUMN()-2) &lt;0),"",K26*(1-B27)/(B29+1)*B26)</f>
        <v/>
      </c>
      <c r="AF38" s="56" t="str">
        <f>IF(OR(NOT(K26),(COLUMN()-3)-(B28+9)&lt;0,(B28+9+B29) - (COLUMN()-2) &lt;0),"",K26*(1-B27)/(B29+1)*B26)</f>
        <v/>
      </c>
      <c r="AG38" s="56" t="str">
        <f>IF(OR(NOT(K26),(COLUMN()-3)-(B28+9)&lt;0,(B28+9+B29) - (COLUMN()-2) &lt;0),"",K26*(1-B27)/(B29+1)*B26)</f>
        <v/>
      </c>
      <c r="AH38" s="91"/>
      <c r="AI38" s="91"/>
      <c r="AJ38" s="91"/>
    </row>
    <row r="39" spans="1:38" hidden="1">
      <c r="A39" s="91"/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50" t="str">
        <f>IF(OR(NOT(L26),(COLUMN()-3)-(B28+10)&lt;0,(B28+10+B29) - (COLUMN()-2) &lt;0),"",L26*(1-B27)/(B29+1)*B26)</f>
        <v/>
      </c>
      <c r="N39" s="50" t="str">
        <f>IF(OR(NOT(L26),(COLUMN()-3)-(B28+10)&lt;0,(B28+10+B29) - (COLUMN()-2) &lt;0),"",L26*(1-B27)/(B29+1)*B26)</f>
        <v/>
      </c>
      <c r="O39" s="55" t="str">
        <f>IF(OR(NOT(L26),(COLUMN()-3)-(B28+10)&lt;0,(B28+10+B29) - (COLUMN()-2) &lt;0),"",L26*(1-B27)/(B29+1)*B26)</f>
        <v/>
      </c>
      <c r="P39" s="55" t="str">
        <f>IF(OR(NOT(L26),(COLUMN()-3)-(B28+10)&lt;0,(B28+10+B29) - (COLUMN()-2) &lt;0),"",L26*(1-B27)/(B29+1)*B26)</f>
        <v/>
      </c>
      <c r="Q39" s="55" t="str">
        <f>IF(OR(NOT(L26),(COLUMN()-3)-(B28+10)&lt;0,(B28+10+B29) - (COLUMN()-2) &lt;0),"",L26*(1-B27)/(B29+1)*B26)</f>
        <v/>
      </c>
      <c r="R39" s="55" t="str">
        <f>IF(OR(NOT(L26),(COLUMN()-3)-(B28+10)&lt;0,(B28+10+B29) - (COLUMN()-2) &lt;0),"",L26*(1-B27)/(B29+1)*B26)</f>
        <v/>
      </c>
      <c r="S39" s="55" t="str">
        <f>IF(OR(NOT(L26),(COLUMN()-3)-(B28+10)&lt;0,(B28+10+B29) - (COLUMN()-2) &lt;0),"",L26*(1-B27)/(B29+1)*B26)</f>
        <v/>
      </c>
      <c r="T39" s="55" t="str">
        <f>IF(OR(NOT(L26),(COLUMN()-3)-(B28+10)&lt;0,(B28+10+B29) - (COLUMN()-2) &lt;0),"",L26*(1-B27)/(B29+1)*B26)</f>
        <v/>
      </c>
      <c r="U39" s="55" t="str">
        <f>IF(OR(NOT(L26),(COLUMN()-3)-(B28+10)&lt;0,(B28+10+B29) - (COLUMN()-2) &lt;0),"",L26*(1-B27)/(B29+1)*B26)</f>
        <v/>
      </c>
      <c r="V39" s="55" t="str">
        <f>IF(OR(NOT(L26),(COLUMN()-3)-(B28+10)&lt;0,(B28+10+B29) - (COLUMN()-2) &lt;0),"",L26*(1-B27)/(B29+1)*B26)</f>
        <v/>
      </c>
      <c r="W39" s="55" t="str">
        <f>IF(OR(NOT(L26),(COLUMN()-3)-(B28+10)&lt;0,(B28+10+B29) - (COLUMN()-2) &lt;0),"",L26*(1-B27)/(B29+1)*B26)</f>
        <v/>
      </c>
      <c r="X39" s="55" t="str">
        <f>IF(OR(NOT(L26),(COLUMN()-3)-(B28+10)&lt;0,(B28+10+B29) - (COLUMN()-2) &lt;0),"",L26*(1-B27)/(B29+1)*B26)</f>
        <v/>
      </c>
      <c r="Y39" s="55" t="str">
        <f>IF(OR(NOT(L26),(COLUMN()-3)-(B28+10)&lt;0,(B28+10+B29) - (COLUMN()-2) &lt;0),"",L26*(1-B27)/(B29+1)*B26)</f>
        <v/>
      </c>
      <c r="Z39" s="55" t="str">
        <f>IF(OR(NOT(L26),(COLUMN()-3)-(B28+10)&lt;0,(B28+10+B29) - (COLUMN()-2) &lt;0),"",L26*(1-B27)/(B29+1)*B26)</f>
        <v/>
      </c>
      <c r="AA39" s="56" t="str">
        <f>IF(OR(NOT(L26),(COLUMN()-3)-(B28+10)&lt;0,(B28+10+B29) - (COLUMN()-2) &lt;0),"",L26*(1-B27)/(B29+1)*B26)</f>
        <v/>
      </c>
      <c r="AB39" s="56" t="str">
        <f>IF(OR(NOT(L26),(COLUMN()-3)-(B28+10)&lt;0,(B28+10+B29) - (COLUMN()-2) &lt;0),"",L26*(1-B27)/(B29+1)*B26)</f>
        <v/>
      </c>
      <c r="AC39" s="56" t="str">
        <f>IF(OR(NOT(L26),(COLUMN()-3)-(B28+10)&lt;0,(B28+10+B29) - (COLUMN()-2) &lt;0),"",L26*(1-B27)/(B29+1)*B26)</f>
        <v/>
      </c>
      <c r="AD39" s="56" t="str">
        <f>IF(OR(NOT(L26),(COLUMN()-3)-(B28+10)&lt;0,(B28+10+B29) - (COLUMN()-2) &lt;0),"",L26*(1-B27)/(B29+1)*B26)</f>
        <v/>
      </c>
      <c r="AE39" s="56" t="str">
        <f>IF(OR(NOT(L26),(COLUMN()-3)-(B28+10)&lt;0,(B28+10+B29) - (COLUMN()-2) &lt;0),"",L26*(1-B27)/(B29+1)*B26)</f>
        <v/>
      </c>
      <c r="AF39" s="56" t="str">
        <f>IF(OR(NOT(L26),(COLUMN()-3)-(B28+10)&lt;0,(B28+10+B29) - (COLUMN()-2) &lt;0),"",L26*(1-B27)/(B29+1)*B26)</f>
        <v/>
      </c>
      <c r="AG39" s="56" t="str">
        <f>IF(OR(NOT(L26),(COLUMN()-3)-(B28+10)&lt;0,(B28+10+B29) - (COLUMN()-2) &lt;0),"",L26*(1-B27)/(B29+1)*B26)</f>
        <v/>
      </c>
      <c r="AH39" s="56" t="str">
        <f>IF(OR(NOT(L26),(COLUMN()-3)-(B28+10)&lt;0,(B28+10+B29) - (COLUMN()-2) &lt;0),"",L26*(1-B27)/(B29+1)*B26)</f>
        <v/>
      </c>
      <c r="AI39" s="91"/>
      <c r="AJ39" s="91"/>
    </row>
    <row r="40" spans="1:38" hidden="1">
      <c r="A40" s="91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50" t="str">
        <f>IF(OR(NOT(M26),(COLUMN()-3)-(B28+11)&lt;0,(B28+11+B29) - (COLUMN()-2) &lt;0),"",M26*(1-B27)/(B29+1)*B26)</f>
        <v/>
      </c>
      <c r="O40" s="55" t="str">
        <f>IF(OR(NOT(M26),(COLUMN()-3)-(B28+11)&lt;0,(B28+11+B29) - (COLUMN()-2) &lt;0),"",M26*(1-B27)/(B29+1)*B26)</f>
        <v/>
      </c>
      <c r="P40" s="55" t="str">
        <f>IF(OR(NOT(M26),(COLUMN()-3)-(B28+11)&lt;0,(B28+11+B29) - (COLUMN()-2) &lt;0),"",M26*(1-B27)/(B29+1)*B26)</f>
        <v/>
      </c>
      <c r="Q40" s="55" t="str">
        <f>IF(OR(NOT(M26),(COLUMN()-3)-(B28+11)&lt;0,(B28+11+B29) - (COLUMN()-2) &lt;0),"",M26*(1-B27)/(B29+1)*B26)</f>
        <v/>
      </c>
      <c r="R40" s="55" t="str">
        <f>IF(OR(NOT(M26),(COLUMN()-3)-(B28+11)&lt;0,(B28+11+B29) - (COLUMN()-2) &lt;0),"",M26*(1-B27)/(B29+1)*B26)</f>
        <v/>
      </c>
      <c r="S40" s="55" t="str">
        <f>IF(OR(NOT(M26),(COLUMN()-3)-(B28+11)&lt;0,(B28+11+B29) - (COLUMN()-2) &lt;0),"",M26*(1-B27)/(B29+1)*B26)</f>
        <v/>
      </c>
      <c r="T40" s="55" t="str">
        <f>IF(OR(NOT(M26),(COLUMN()-3)-(B28+11)&lt;0,(B28+11+B29) - (COLUMN()-2) &lt;0),"",M26*(1-B27)/(B29+1)*B26)</f>
        <v/>
      </c>
      <c r="U40" s="55" t="str">
        <f>IF(OR(NOT(M26),(COLUMN()-3)-(B28+11)&lt;0,(B28+11+B29) - (COLUMN()-2) &lt;0),"",M26*(1-B27)/(B29+1)*B26)</f>
        <v/>
      </c>
      <c r="V40" s="55" t="str">
        <f>IF(OR(NOT(M26),(COLUMN()-3)-(B28+11)&lt;0,(B28+11+B29) - (COLUMN()-2) &lt;0),"",M26*(1-B27)/(B29+1)*B26)</f>
        <v/>
      </c>
      <c r="W40" s="55" t="str">
        <f>IF(OR(NOT(M26),(COLUMN()-3)-(B28+11)&lt;0,(B28+11+B29) - (COLUMN()-2) &lt;0),"",M26*(1-B27)/(B29+1)*B26)</f>
        <v/>
      </c>
      <c r="X40" s="55" t="str">
        <f>IF(OR(NOT(M26),(COLUMN()-3)-(B28+11)&lt;0,(B28+11+B29) - (COLUMN()-2) &lt;0),"",M26*(1-B27)/(B29+1)*B26)</f>
        <v/>
      </c>
      <c r="Y40" s="55" t="str">
        <f>IF(OR(NOT(M26),(COLUMN()-3)-(B28+11)&lt;0,(B28+11+B29) - (COLUMN()-2) &lt;0),"",M26*(1-B27)/(B29+1)*B26)</f>
        <v/>
      </c>
      <c r="Z40" s="55" t="str">
        <f>IF(OR(NOT(M26),(COLUMN()-3)-(B28+11)&lt;0,(B28+11+B29) - (COLUMN()-2) &lt;0),"",M26*(1-B27)/(B29+1)*B26)</f>
        <v/>
      </c>
      <c r="AA40" s="56" t="str">
        <f>IF(OR(NOT(M26),(COLUMN()-3)-(B28+11)&lt;0,(B28+11+B29) - (COLUMN()-2) &lt;0),"",M26*(1-B27)/(B29+1)*B26)</f>
        <v/>
      </c>
      <c r="AB40" s="56" t="str">
        <f>IF(OR(NOT(M26),(COLUMN()-3)-(B28+11)&lt;0,(B28+11+B29) - (COLUMN()-2) &lt;0),"",M26*(1-B27)/(B29+1)*B26)</f>
        <v/>
      </c>
      <c r="AC40" s="56" t="str">
        <f>IF(OR(NOT(M26),(COLUMN()-3)-(B28+11)&lt;0,(B28+11+B29) - (COLUMN()-2) &lt;0),"",M26*(1-B27)/(B29+1)*B26)</f>
        <v/>
      </c>
      <c r="AD40" s="56" t="str">
        <f>IF(OR(NOT(M26),(COLUMN()-3)-(B28+11)&lt;0,(B28+11+B29) - (COLUMN()-2) &lt;0),"",M26*(1-B27)/(B29+1)*B26)</f>
        <v/>
      </c>
      <c r="AE40" s="56" t="str">
        <f>IF(OR(NOT(M26),(COLUMN()-3)-(B28+11)&lt;0,(B28+11+B29) - (COLUMN()-2) &lt;0),"",M26*(1-B27)/(B29+1)*B26)</f>
        <v/>
      </c>
      <c r="AF40" s="56" t="str">
        <f>IF(OR(NOT(M26),(COLUMN()-3)-(B28+11)&lt;0,(B28+11+B29) - (COLUMN()-2) &lt;0),"",M26*(1-B27)/(B29+1)*B26)</f>
        <v/>
      </c>
      <c r="AG40" s="56" t="str">
        <f>IF(OR(NOT(M26),(COLUMN()-3)-(B28+11)&lt;0,(B28+11+B29) - (COLUMN()-2) &lt;0),"",M26*(1-B27)/(B29+1)*B26)</f>
        <v/>
      </c>
      <c r="AH40" s="56" t="str">
        <f>IF(OR(NOT(M26),(COLUMN()-3)-(B28+11)&lt;0,(B28+11+B29) - (COLUMN()-2) &lt;0),"",M26*(1-B27)/(B29+1)*B26)</f>
        <v/>
      </c>
      <c r="AI40" s="56" t="str">
        <f>IF(OR(NOT(M26),(COLUMN()-3)-(B28+11)&lt;0,(B28+11+B29) - (COLUMN()-2) &lt;0),"",M26*(1-B27)/(B29+1)*B26)</f>
        <v/>
      </c>
      <c r="AJ40" s="91"/>
    </row>
    <row r="41" spans="1:38" hidden="1">
      <c r="A41" s="91"/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55" t="str">
        <f>IF(OR(NOT(N26),(COLUMN()-3)-(B28+12)&lt;0,(B28+12+B29) - (COLUMN()-2) &lt;0),"",N26*(1-B27)/(B29+1)*B26)</f>
        <v/>
      </c>
      <c r="P41" s="55" t="str">
        <f>IF(OR(NOT(N26),(COLUMN()-3)-(B28+12)&lt;0,(B28+12+B29) - (COLUMN()-2) &lt;0),"",N26*(1-B27)/(B29+1)*B26)</f>
        <v/>
      </c>
      <c r="Q41" s="55" t="str">
        <f>IF(OR(NOT(N26),(COLUMN()-3)-(B28+12)&lt;0,(B28+12+B29) - (COLUMN()-2) &lt;0),"",N26*(1-B27)/(B29+1)*B26)</f>
        <v/>
      </c>
      <c r="R41" s="55" t="str">
        <f>IF(OR(NOT(N26),(COLUMN()-3)-(B28+12)&lt;0,(B28+12+B29) - (COLUMN()-2) &lt;0),"",N26*(1-B27)/(B29+1)*B26)</f>
        <v/>
      </c>
      <c r="S41" s="55" t="str">
        <f>IF(OR(NOT(N26),(COLUMN()-3)-(B28+12)&lt;0,(B28+12+B29) - (COLUMN()-2) &lt;0),"",N26*(1-B27)/(B29+1)*B26)</f>
        <v/>
      </c>
      <c r="T41" s="55" t="str">
        <f>IF(OR(NOT(N26),(COLUMN()-3)-(B28+12)&lt;0,(B28+12+B29) - (COLUMN()-2) &lt;0),"",N26*(1-B27)/(B29+1)*B26)</f>
        <v/>
      </c>
      <c r="U41" s="55" t="str">
        <f>IF(OR(NOT(N26),(COLUMN()-3)-(B28+12)&lt;0,(B28+12+B29) - (COLUMN()-2) &lt;0),"",N26*(1-B27)/(B29+1)*B26)</f>
        <v/>
      </c>
      <c r="V41" s="55" t="str">
        <f>IF(OR(NOT(N26),(COLUMN()-3)-(B28+12)&lt;0,(B28+12+B29) - (COLUMN()-2) &lt;0),"",N26*(1-B27)/(B29+1)*B26)</f>
        <v/>
      </c>
      <c r="W41" s="55" t="str">
        <f>IF(OR(NOT(N26),(COLUMN()-3)-(B28+12)&lt;0,(B28+12+B29) - (COLUMN()-2) &lt;0),"",N26*(1-B27)/(B29+1)*B26)</f>
        <v/>
      </c>
      <c r="X41" s="55" t="str">
        <f>IF(OR(NOT(N26),(COLUMN()-3)-(B28+12)&lt;0,(B28+12+B29) - (COLUMN()-2) &lt;0),"",N26*(1-B27)/(B29+1)*B26)</f>
        <v/>
      </c>
      <c r="Y41" s="55" t="str">
        <f>IF(OR(NOT(N26),(COLUMN()-3)-(B28+12)&lt;0,(B28+12+B29) - (COLUMN()-2) &lt;0),"",N26*(1-B27)/(B29+1)*B26)</f>
        <v/>
      </c>
      <c r="Z41" s="55" t="str">
        <f>IF(OR(NOT(N26),(COLUMN()-3)-(B28+12)&lt;0,(B28+12+B29) - (COLUMN()-2) &lt;0),"",N26*(1-B27)/(B29+1)*B26)</f>
        <v/>
      </c>
      <c r="AA41" s="56" t="str">
        <f>IF(OR(NOT(N26),(COLUMN()-3)-(B28+12)&lt;0,(B28+12+B29) - (COLUMN()-2) &lt;0),"",N26*(1-B27)/(B29+1)*B26)</f>
        <v/>
      </c>
      <c r="AB41" s="56" t="str">
        <f>IF(OR(NOT(N26),(COLUMN()-3)-(B28+12)&lt;0,(B28+12+B29) - (COLUMN()-2) &lt;0),"",N26*(1-B27)/(B29+1)*B26)</f>
        <v/>
      </c>
      <c r="AC41" s="56" t="str">
        <f>IF(OR(NOT(N26),(COLUMN()-3)-(B28+12)&lt;0,(B28+12+B29) - (COLUMN()-2) &lt;0),"",N26*(1-B27)/(B29+1)*B26)</f>
        <v/>
      </c>
      <c r="AD41" s="56" t="str">
        <f>IF(OR(NOT(N26),(COLUMN()-3)-(B28+12)&lt;0,(B28+12+B29) - (COLUMN()-2) &lt;0),"",N26*(1-B27)/(B29+1)*B26)</f>
        <v/>
      </c>
      <c r="AE41" s="56" t="str">
        <f>IF(OR(NOT(N26),(COLUMN()-3)-(B28+12)&lt;0,(B28+12+B29) - (COLUMN()-2) &lt;0),"",N26*(1-B27)/(B29+1)*B26)</f>
        <v/>
      </c>
      <c r="AF41" s="56" t="str">
        <f>IF(OR(NOT(N26),(COLUMN()-3)-(B28+12)&lt;0,(B28+12+B29) - (COLUMN()-2) &lt;0),"",N26*(1-B27)/(B29+1)*B26)</f>
        <v/>
      </c>
      <c r="AG41" s="56" t="str">
        <f>IF(OR(NOT(N26),(COLUMN()-3)-(B28+12)&lt;0,(B28+12+B29) - (COLUMN()-2) &lt;0),"",N26*(1-B27)/(B29+1)*B26)</f>
        <v/>
      </c>
      <c r="AH41" s="56" t="str">
        <f>IF(OR(NOT(N26),(COLUMN()-3)-(B28+12)&lt;0,(B28+12+B29) - (COLUMN()-2) &lt;0),"",N26*(1-B27)/(B29+1)*B26)</f>
        <v/>
      </c>
      <c r="AI41" s="56" t="str">
        <f>IF(OR(NOT(N26),(COLUMN()-3)-(B28+12)&lt;0,(B28+12+B29) - (COLUMN()-2) &lt;0),"",N26*(1-B27)/(B29+1)*B26)</f>
        <v/>
      </c>
      <c r="AJ41" s="56" t="str">
        <f>IF(OR(NOT(N26),(COLUMN()-3)-(B28+12)&lt;0,(B28+12+B29) - (COLUMN()-2) &lt;0),"",N26*(1-B27)/(B29+1)*B26)</f>
        <v/>
      </c>
    </row>
    <row r="42" spans="1:38">
      <c r="A42" s="90" t="s">
        <v>85</v>
      </c>
      <c r="B42" s="52">
        <v>0.25</v>
      </c>
      <c r="C42" s="92" t="str">
        <f>IF(-SUM(C27:C28)*B42,-SUM(C27:C28)*B42,"")</f>
        <v/>
      </c>
      <c r="D42" s="92">
        <f>IF(-SUM(D27:D29)*B42,-SUM(D27:D29)*B42,"")</f>
        <v>-99.987499999999997</v>
      </c>
      <c r="E42" s="92">
        <f>IF(-SUM(E27:E29)*B42,-SUM(E27:E29)*B42,"")</f>
        <v>-99.987499999999997</v>
      </c>
      <c r="F42" s="92">
        <f>IF(-SUM(F27:F29)*B42,-SUM(F27:F29)*B42,"")</f>
        <v>-99.987499999999997</v>
      </c>
      <c r="G42" s="92">
        <f>IF(-SUM(G27:G29)*B42,-SUM(G27:G29)*B42,"")</f>
        <v>-199.97499999999999</v>
      </c>
      <c r="H42" s="92">
        <f>IF(-SUM(H27:H29)*B42,-SUM(H27:H29)*B42,"")</f>
        <v>-199.97499999999999</v>
      </c>
      <c r="I42" s="92">
        <f>IF(-SUM(I27:I29)*B42,-SUM(I27:I29)*B42,"")</f>
        <v>-199.97499999999999</v>
      </c>
      <c r="J42" s="92">
        <f>IF(-SUM(J27:J29)*B42,-SUM(J27:J29)*B42,"")</f>
        <v>-199.97499999999999</v>
      </c>
      <c r="K42" s="92">
        <f>IF(-SUM(K27:K29)*B42,-SUM(K27:K29)*B42,"")</f>
        <v>-299.96249999999998</v>
      </c>
      <c r="L42" s="92">
        <f>IF(-SUM(L27:L29)*B42,-SUM(L27:L29)*B42,"")</f>
        <v>-299.96249999999998</v>
      </c>
      <c r="M42" s="92">
        <f>IF(-SUM(M27:M29)*B42,-SUM(M27:M29)*B42,"")</f>
        <v>-399.95</v>
      </c>
      <c r="N42" s="92">
        <f>IF(-SUM(N27:N29)*B42,-SUM(N27:N29)*B42,"")</f>
        <v>-399.95</v>
      </c>
      <c r="O42" s="92" t="str">
        <f>IF(-SUM(O28:O29)*B42,-SUM(O28:O29)*B42,"")</f>
        <v/>
      </c>
      <c r="P42" s="92" t="str">
        <f>IF(-SUM(P28:P29)*B42,-SUM(P28:P29)*B42,"")</f>
        <v/>
      </c>
      <c r="Q42" s="92" t="str">
        <f>IF(-SUM(Q28:Q29)*B42,-SUM(Q28:Q29)*B42,"")</f>
        <v/>
      </c>
      <c r="R42" s="92" t="str">
        <f>IF(-SUM(R28:R29)*B42,-SUM(R28:R29)*B42,"")</f>
        <v/>
      </c>
      <c r="S42" s="92" t="str">
        <f>IF(-SUM(S28:S29)*B42,-SUM(S28:S29)*B42,"")</f>
        <v/>
      </c>
      <c r="T42" s="92" t="str">
        <f>IF(-SUM(T28:T29)*B42,-SUM(T28:T29)*B42,"")</f>
        <v/>
      </c>
      <c r="U42" s="92" t="str">
        <f>IF(-SUM(U28:U29)*B42,-SUM(U28:U29)*B42,"")</f>
        <v/>
      </c>
      <c r="V42" s="92" t="str">
        <f>IF(-SUM(V28:V29)*B42,-SUM(V28:V29)*B42,"")</f>
        <v/>
      </c>
      <c r="W42" s="92" t="str">
        <f>IF(-SUM(W28:W29)*B42,-SUM(W28:W29)*B42,"")</f>
        <v/>
      </c>
      <c r="X42" s="92" t="str">
        <f>IF(-SUM(X28:X29)*B42,-SUM(X28:X29)*B42,"")</f>
        <v/>
      </c>
      <c r="Y42" s="92" t="str">
        <f>IF(-SUM(Y28:Y29)*B42,-SUM(Y28:Y29)*B42,"")</f>
        <v/>
      </c>
      <c r="Z42" s="92" t="str">
        <f>IF(-SUM(Z29)*B42,-Z29*B42,"")</f>
        <v/>
      </c>
      <c r="AA42" s="92" t="str">
        <f>IF(-SUM(AA29),-AA29*B42,"")</f>
        <v/>
      </c>
      <c r="AB42" s="92" t="str">
        <f>IF(-SUM(AB29)*B42,-AB29*B42,"")</f>
        <v/>
      </c>
      <c r="AC42" s="92" t="str">
        <f>IF(-SUM(AC29)*B42,-AC29*B42,"")</f>
        <v/>
      </c>
      <c r="AD42" s="92" t="str">
        <f>IF(-SUM(AD29)*B42,-AD29*B42,"")</f>
        <v/>
      </c>
      <c r="AE42" s="92" t="str">
        <f>IF(-SUM(AE29)*B42,-AE29*B42,"")</f>
        <v/>
      </c>
      <c r="AF42" s="92" t="str">
        <f>IF(-SUM(AF29)*B42,-AF29*B42,"")</f>
        <v/>
      </c>
      <c r="AG42" s="92" t="str">
        <f>IF(-SUM(AG29)*B42,-AG29*B42,"")</f>
        <v/>
      </c>
      <c r="AH42" s="92" t="str">
        <f>IF(-SUM(AH29)*B42,-AH29*B42,"")</f>
        <v/>
      </c>
      <c r="AI42" s="92" t="str">
        <f>IF(-SUM(AI29)*B42,-AI29*B42,"")</f>
        <v/>
      </c>
      <c r="AJ42" s="92" t="str">
        <f>IF(-SUM(AJ29)*B42,-AJ29*B42,"")</f>
        <v/>
      </c>
      <c r="AK42" s="1"/>
    </row>
    <row r="43" spans="1:38" ht="15" thickBot="1">
      <c r="A43" s="90" t="s">
        <v>86</v>
      </c>
      <c r="B43" s="4"/>
      <c r="C43" s="92" t="str">
        <f>IF(-B43*C26,-B43*C26,"")</f>
        <v/>
      </c>
      <c r="D43" s="92" t="str">
        <f>IF(-B43*D26,-B43*D26,"")</f>
        <v/>
      </c>
      <c r="E43" s="92" t="str">
        <f>IF(-B43*E26,-B43*E26,"")</f>
        <v/>
      </c>
      <c r="F43" s="92" t="str">
        <f>IF(-B43*F26,-B43*F26,"")</f>
        <v/>
      </c>
      <c r="G43" s="92" t="str">
        <f>IF(-B43*G26,-B43*G26,"")</f>
        <v/>
      </c>
      <c r="H43" s="92" t="str">
        <f>IF(-B43*H26,-B43*H26,"")</f>
        <v/>
      </c>
      <c r="I43" s="92" t="str">
        <f>IF(-B43*I26,-B43*I26,"")</f>
        <v/>
      </c>
      <c r="J43" s="92" t="str">
        <f>IF(-B43*J26,-B43*J26,"")</f>
        <v/>
      </c>
      <c r="K43" s="92" t="str">
        <f>IF(-B43*K26,-B43*K26,"")</f>
        <v/>
      </c>
      <c r="L43" s="92" t="str">
        <f>IF(-B43*L26,-B43*L26,"")</f>
        <v/>
      </c>
      <c r="M43" s="92" t="str">
        <f>IF(-B43*M26,-B43*M26,"")</f>
        <v/>
      </c>
      <c r="N43" s="92" t="str">
        <f>IF(-B43*N26,-B43*N26,"")</f>
        <v/>
      </c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1"/>
    </row>
    <row r="44" spans="1:38" ht="18.600000000000001" thickBot="1">
      <c r="B44" s="96" t="s">
        <v>87</v>
      </c>
      <c r="C44" s="93">
        <f>SUM(C27:C28)+SUM(C42:C43)</f>
        <v>0</v>
      </c>
      <c r="D44" s="93">
        <f t="shared" ref="D44:N44" si="11">SUM(D27:D29)+SUM(D42:D43)</f>
        <v>299.96249999999998</v>
      </c>
      <c r="E44" s="93">
        <f t="shared" si="11"/>
        <v>299.96249999999998</v>
      </c>
      <c r="F44" s="93">
        <f t="shared" si="11"/>
        <v>299.96249999999998</v>
      </c>
      <c r="G44" s="93">
        <f t="shared" si="11"/>
        <v>599.92499999999995</v>
      </c>
      <c r="H44" s="93">
        <f t="shared" si="11"/>
        <v>599.92499999999995</v>
      </c>
      <c r="I44" s="93">
        <f t="shared" si="11"/>
        <v>599.92499999999995</v>
      </c>
      <c r="J44" s="93">
        <f t="shared" si="11"/>
        <v>599.92499999999995</v>
      </c>
      <c r="K44" s="93">
        <f t="shared" si="11"/>
        <v>899.88749999999993</v>
      </c>
      <c r="L44" s="93">
        <f t="shared" si="11"/>
        <v>899.88749999999993</v>
      </c>
      <c r="M44" s="93">
        <f t="shared" si="11"/>
        <v>1199.8499999999999</v>
      </c>
      <c r="N44" s="93">
        <f t="shared" si="11"/>
        <v>1199.8499999999999</v>
      </c>
      <c r="O44" s="140">
        <f t="shared" ref="O44:Y44" si="12">SUM(O28:O29)+SUM(O42)</f>
        <v>0</v>
      </c>
      <c r="P44" s="140">
        <f t="shared" si="12"/>
        <v>0</v>
      </c>
      <c r="Q44" s="140">
        <f t="shared" si="12"/>
        <v>0</v>
      </c>
      <c r="R44" s="140">
        <f t="shared" si="12"/>
        <v>0</v>
      </c>
      <c r="S44" s="140">
        <f t="shared" si="12"/>
        <v>0</v>
      </c>
      <c r="T44" s="140">
        <f t="shared" si="12"/>
        <v>0</v>
      </c>
      <c r="U44" s="140">
        <f t="shared" si="12"/>
        <v>0</v>
      </c>
      <c r="V44" s="140">
        <f t="shared" si="12"/>
        <v>0</v>
      </c>
      <c r="W44" s="140">
        <f t="shared" si="12"/>
        <v>0</v>
      </c>
      <c r="X44" s="140">
        <f t="shared" si="12"/>
        <v>0</v>
      </c>
      <c r="Y44" s="140">
        <f t="shared" si="12"/>
        <v>0</v>
      </c>
      <c r="Z44" s="140">
        <f t="shared" ref="Z44:AJ44" si="13">SUM(Z29)+SUM(Z42)</f>
        <v>0</v>
      </c>
      <c r="AA44" s="140">
        <f t="shared" si="13"/>
        <v>0</v>
      </c>
      <c r="AB44" s="140">
        <f t="shared" si="13"/>
        <v>0</v>
      </c>
      <c r="AC44" s="140">
        <f t="shared" si="13"/>
        <v>0</v>
      </c>
      <c r="AD44" s="140">
        <f t="shared" si="13"/>
        <v>0</v>
      </c>
      <c r="AE44" s="140">
        <f t="shared" si="13"/>
        <v>0</v>
      </c>
      <c r="AF44" s="140">
        <f t="shared" si="13"/>
        <v>0</v>
      </c>
      <c r="AG44" s="140">
        <f t="shared" si="13"/>
        <v>0</v>
      </c>
      <c r="AH44" s="140">
        <f t="shared" si="13"/>
        <v>0</v>
      </c>
      <c r="AI44" s="140">
        <f t="shared" si="13"/>
        <v>0</v>
      </c>
      <c r="AJ44" s="140">
        <f t="shared" si="13"/>
        <v>0</v>
      </c>
      <c r="AK44" s="1"/>
    </row>
    <row r="46" spans="1:38">
      <c r="A46" s="86" t="str">
        <f>IF('Reverse Engineering Valuation'!A43 = "","    ---    ",'Reverse Engineering Valuation'!A43)</f>
        <v xml:space="preserve">    ---    </v>
      </c>
      <c r="B46" s="87" t="str">
        <f>IF(ROUND(B52,1)&gt;0,CONCATENATE("Under by ",ROUND(B52,1)), IF(ROUND(B52,1)&lt;0, CONCATENATE("OVER BY ",ROUND(B52,1)), "You Matched"))</f>
        <v>You Matched</v>
      </c>
      <c r="C46" s="85">
        <f t="shared" ref="C46:N46" si="14">C127</f>
        <v>44927</v>
      </c>
      <c r="D46" s="85">
        <f t="shared" si="14"/>
        <v>44958</v>
      </c>
      <c r="E46" s="85">
        <f t="shared" si="14"/>
        <v>44986</v>
      </c>
      <c r="F46" s="85">
        <f t="shared" si="14"/>
        <v>45017</v>
      </c>
      <c r="G46" s="85">
        <f t="shared" si="14"/>
        <v>45047</v>
      </c>
      <c r="H46" s="85">
        <f t="shared" si="14"/>
        <v>45078</v>
      </c>
      <c r="I46" s="85">
        <f t="shared" si="14"/>
        <v>45108</v>
      </c>
      <c r="J46" s="85">
        <f t="shared" si="14"/>
        <v>45139</v>
      </c>
      <c r="K46" s="85">
        <f t="shared" si="14"/>
        <v>45170</v>
      </c>
      <c r="L46" s="85">
        <f t="shared" si="14"/>
        <v>45200</v>
      </c>
      <c r="M46" s="85">
        <f t="shared" si="14"/>
        <v>45231</v>
      </c>
      <c r="N46" s="85">
        <f t="shared" si="14"/>
        <v>45261</v>
      </c>
      <c r="O46" s="139" t="str">
        <f t="shared" ref="O46:AJ46" si="15" xml:space="preserve">  CONCATENATE("Ext +", COLUMN()-14)</f>
        <v>Ext +1</v>
      </c>
      <c r="P46" s="139" t="str">
        <f t="shared" si="15"/>
        <v>Ext +2</v>
      </c>
      <c r="Q46" s="139" t="str">
        <f t="shared" si="15"/>
        <v>Ext +3</v>
      </c>
      <c r="R46" s="139" t="str">
        <f t="shared" si="15"/>
        <v>Ext +4</v>
      </c>
      <c r="S46" s="139" t="str">
        <f t="shared" si="15"/>
        <v>Ext +5</v>
      </c>
      <c r="T46" s="139" t="str">
        <f t="shared" si="15"/>
        <v>Ext +6</v>
      </c>
      <c r="U46" s="139" t="str">
        <f t="shared" si="15"/>
        <v>Ext +7</v>
      </c>
      <c r="V46" s="139" t="str">
        <f t="shared" si="15"/>
        <v>Ext +8</v>
      </c>
      <c r="W46" s="139" t="str">
        <f t="shared" si="15"/>
        <v>Ext +9</v>
      </c>
      <c r="X46" s="139" t="str">
        <f t="shared" si="15"/>
        <v>Ext +10</v>
      </c>
      <c r="Y46" s="139" t="str">
        <f t="shared" si="15"/>
        <v>Ext +11</v>
      </c>
      <c r="Z46" s="139" t="str">
        <f t="shared" si="15"/>
        <v>Ext +12</v>
      </c>
      <c r="AA46" s="121" t="str">
        <f t="shared" si="15"/>
        <v>Ext +13</v>
      </c>
      <c r="AB46" s="121" t="str">
        <f t="shared" si="15"/>
        <v>Ext +14</v>
      </c>
      <c r="AC46" s="121" t="str">
        <f t="shared" si="15"/>
        <v>Ext +15</v>
      </c>
      <c r="AD46" s="121" t="str">
        <f t="shared" si="15"/>
        <v>Ext +16</v>
      </c>
      <c r="AE46" s="121" t="str">
        <f t="shared" si="15"/>
        <v>Ext +17</v>
      </c>
      <c r="AF46" s="121" t="str">
        <f t="shared" si="15"/>
        <v>Ext +18</v>
      </c>
      <c r="AG46" s="121" t="str">
        <f t="shared" si="15"/>
        <v>Ext +19</v>
      </c>
      <c r="AH46" s="121" t="str">
        <f t="shared" si="15"/>
        <v>Ext +20</v>
      </c>
      <c r="AI46" s="121" t="str">
        <f t="shared" si="15"/>
        <v>Ext +21</v>
      </c>
      <c r="AJ46" s="121" t="str">
        <f t="shared" si="15"/>
        <v>Ext +22</v>
      </c>
    </row>
    <row r="47" spans="1:38">
      <c r="A47" s="90" t="str">
        <f>A26</f>
        <v xml:space="preserve">Number of customers @ </v>
      </c>
      <c r="B47" s="50">
        <f>'Reverse Engineering Valuation'!B43</f>
        <v>0</v>
      </c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1"/>
      <c r="AL47" s="1"/>
    </row>
    <row r="48" spans="1:38">
      <c r="A48" s="90" t="s">
        <v>80</v>
      </c>
      <c r="B48" s="52"/>
      <c r="C48" s="50" t="str">
        <f>IF(C47*B48*B47,C47*B48*B47,"")</f>
        <v/>
      </c>
      <c r="D48" s="50" t="str">
        <f>IF(D47*B48*B47,D47*B48*B47,"")</f>
        <v/>
      </c>
      <c r="E48" s="50" t="str">
        <f>IF(E47*B48*B47,E47*B48*B47,"")</f>
        <v/>
      </c>
      <c r="F48" s="50" t="str">
        <f>IF(F47*B48*B47,F47*B48*B47,"")</f>
        <v/>
      </c>
      <c r="G48" s="50" t="str">
        <f>IF(G47*B48*B47,G47*B48*B47,"")</f>
        <v/>
      </c>
      <c r="H48" s="50" t="str">
        <f>IF(H47*B48*B47,H47*B48*B47,"")</f>
        <v/>
      </c>
      <c r="I48" s="50" t="str">
        <f>IF(I47*B48*B47,I47*B48*B47,"")</f>
        <v/>
      </c>
      <c r="J48" s="50" t="str">
        <f>IF(J47*B48*B47,J47*B48*B47,"")</f>
        <v/>
      </c>
      <c r="K48" s="50" t="str">
        <f>IF(K47*B48*B47,K47*B48*B47,"")</f>
        <v/>
      </c>
      <c r="L48" s="50" t="str">
        <f>IF(L47*B48*B47,L47*B48*B47,"")</f>
        <v/>
      </c>
      <c r="M48" s="50" t="str">
        <f>IF(M47*B48*B47,M47*B48*B47,"")</f>
        <v/>
      </c>
      <c r="N48" s="50" t="str">
        <f>IF(N47*B48*B47,N47*B48*B47,"")</f>
        <v/>
      </c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1"/>
    </row>
    <row r="49" spans="1:38">
      <c r="A49" s="90" t="s">
        <v>81</v>
      </c>
      <c r="B49" s="53"/>
      <c r="C49" s="50" t="str">
        <f>IF(IF((COLUMN()-2-B49)&gt;0,INDEX(C47:Z47,1, (COLUMN()-2-B49)),0)&gt;=1,(B47* IF((COLUMN()-2-B49)&gt;0,INDEX(C47:Z47,1, (COLUMN()-2-B49)),0)*(1-B48))/(B50+1),"")</f>
        <v/>
      </c>
      <c r="D49" s="50" t="str">
        <f>IF(IF((COLUMN()-2-B49)&gt;0,INDEX(C47:Z47,1, (COLUMN()-2-B49)),0)&gt;=1,(B47* IF((COLUMN()-2-B49)&gt;0,INDEX(C47:Z47,1, (COLUMN()-2-B49)),0)*(1-B48))/(B50+1),"")</f>
        <v/>
      </c>
      <c r="E49" s="50" t="str">
        <f>IF(IF((COLUMN()-2-B49)&gt;0,INDEX(C47:Z47,1, (COLUMN()-2-B49)),0)&gt;=1,(B47* IF((COLUMN()-2-B49)&gt;0,INDEX(C47:Z47,1, (COLUMN()-2-B49)),0)*(1-B48))/(B50+1),"")</f>
        <v/>
      </c>
      <c r="F49" s="50" t="str">
        <f>IF(IF((COLUMN()-2-B49)&gt;0,INDEX(C47:Z47,1, (COLUMN()-2-B49)),0)&gt;=1,(B47* IF((COLUMN()-2-B49)&gt;0,INDEX(C47:Z47,1, (COLUMN()-2-B49)),0)*(1-B48))/(B50+1),"")</f>
        <v/>
      </c>
      <c r="G49" s="50" t="str">
        <f>IF(IF((COLUMN()-2-B49)&gt;0,INDEX(C47:Z47,1, (COLUMN()-2-B49)),0)&gt;=1,(B47* IF((COLUMN()-2-B49)&gt;0,INDEX(C47:Z47,1, (COLUMN()-2-B49)),0)*(1-B48))/(B50+1),"")</f>
        <v/>
      </c>
      <c r="H49" s="50" t="str">
        <f>IF(IF((COLUMN()-2-B49)&gt;0,INDEX(C47:Z47,1, (COLUMN()-2-B49)),0)&gt;=1,(B47* IF((COLUMN()-2-B49)&gt;0,INDEX(C47:Z47,1, (COLUMN()-2-B49)),0)*(1-B48))/(B50+1),"")</f>
        <v/>
      </c>
      <c r="I49" s="50" t="str">
        <f>IF(IF((COLUMN()-2-B49)&gt;0,INDEX(C47:Z47,1, (COLUMN()-2-B49)),0)&gt;=1,(B47* IF((COLUMN()-2-B49)&gt;0,INDEX(C47:Z47,1, (COLUMN()-2-B49)),0)*(1-B48))/(B50+1),"")</f>
        <v/>
      </c>
      <c r="J49" s="50" t="str">
        <f>IF(IF((COLUMN()-2-B49)&gt;0,INDEX(C47:Z47,1, (COLUMN()-2-B49)),0)&gt;=1,(B47* IF((COLUMN()-2-B49)&gt;0,INDEX(C47:Z47,1, (COLUMN()-2-B49)),0)*(1-B48))/(B50+1),"")</f>
        <v/>
      </c>
      <c r="K49" s="50" t="str">
        <f>IF(IF((COLUMN()-2-B49)&gt;0,INDEX(C47:Z47,1, (COLUMN()-2-B49)),0)&gt;=1,(B47* IF((COLUMN()-2-B49)&gt;0,INDEX(C47:Z47,1, (COLUMN()-2-B49)),0)*(1-B48))/(B50+1),"")</f>
        <v/>
      </c>
      <c r="L49" s="50" t="str">
        <f>IF(IF((COLUMN()-2-B49)&gt;0,INDEX(C47:Z47,1, (COLUMN()-2-B49)),0)&gt;=1,(B47* IF((COLUMN()-2-B49)&gt;0,INDEX(C47:Z47,1, (COLUMN()-2-B49)),0)*(1-B48))/(B50+1),"")</f>
        <v/>
      </c>
      <c r="M49" s="50" t="str">
        <f>IF(IF((COLUMN()-2-B49)&gt;0,INDEX(C47:Z47,1, (COLUMN()-2-B49)),0)&gt;=1,(B47* IF((COLUMN()-2-B49)&gt;0,INDEX(C47:Z47,1, (COLUMN()-2-B49)),0)*(1-B48))/(B50+1),"")</f>
        <v/>
      </c>
      <c r="N49" s="50" t="str">
        <f>IF(IF((COLUMN()-2-B49)&gt;0,INDEX(C47:Z47,1, (COLUMN()-2-B49)),0)&gt;=1,(B47* IF((COLUMN()-2-B49)&gt;0,INDEX(C47:Z47,1, (COLUMN()-2-B49)),0)*(1-B48))/(B50+1),"")</f>
        <v/>
      </c>
      <c r="O49" s="55" t="str">
        <f>IF(IF((COLUMN()-2-B49)&gt;0,INDEX(C47:Z47,1, (COLUMN()-2-B49)),0)&gt;=1,(B47* IF((COLUMN()-2-B49)&gt;0,INDEX(C47:Z47,1, (COLUMN()-2-B49)),0)*(1-B48))/(B50+1),"")</f>
        <v/>
      </c>
      <c r="P49" s="55" t="str">
        <f>IF(IF((COLUMN()-2-B49)&gt;0,INDEX(C47:Z47,1, (COLUMN()-2-B49)),0)&gt;=1,(B47* IF((COLUMN()-2-B49)&gt;0,INDEX(C47:Z47,1, (COLUMN()-2-B49)),0)*(1-B48))/(B50+1),"")</f>
        <v/>
      </c>
      <c r="Q49" s="55" t="str">
        <f>IF(IF((COLUMN()-2-B49)&gt;0,INDEX(C47:Z47,1, (COLUMN()-2-B49)),0)&gt;=1,(B47* IF((COLUMN()-2-B49)&gt;0,INDEX(C47:Z47,1, (COLUMN()-2-B49)),0)*(1-B48))/(B50+1),"")</f>
        <v/>
      </c>
      <c r="R49" s="55" t="str">
        <f>IF(IF((COLUMN()-2-B49)&gt;0,INDEX(C47:Z47,1, (COLUMN()-2-B49)),0)&gt;=1,(B47* IF((COLUMN()-2-B49)&gt;0,INDEX(C47:Z47,1, (COLUMN()-2-B49)),0)*(1-B48))/(B50+1),"")</f>
        <v/>
      </c>
      <c r="S49" s="55" t="str">
        <f>IF(IF((COLUMN()-2-B49)&gt;0,INDEX(C47:Z47,1, (COLUMN()-2-B49)),0)&gt;=1,(B47* IF((COLUMN()-2-B49)&gt;0,INDEX(C47:Z47,1, (COLUMN()-2-B49)),0)*(1-B48))/(B50+1),"")</f>
        <v/>
      </c>
      <c r="T49" s="55" t="str">
        <f>IF(IF((COLUMN()-2-B49)&gt;0,INDEX(C47:Z47,1, (COLUMN()-2-B49)),0)&gt;=1,(B47* IF((COLUMN()-2-B49)&gt;0,INDEX(C47:Z47,1, (COLUMN()-2-B49)),0)*(1-B48))/(B50+1),"")</f>
        <v/>
      </c>
      <c r="U49" s="55" t="str">
        <f>IF(IF((COLUMN()-2-B49)&gt;0,INDEX(C47:Z47,1, (COLUMN()-2-B49)),0)&gt;=1,(B47* IF((COLUMN()-2-B49)&gt;0,INDEX(C47:Z47,1, (COLUMN()-2-B49)),0)*(1-B48))/(B50+1),"")</f>
        <v/>
      </c>
      <c r="V49" s="55" t="str">
        <f>IF(IF((COLUMN()-2-B49)&gt;0,INDEX(C47:Z47,1, (COLUMN()-2-B49)),0)&gt;=1,(B47* IF((COLUMN()-2-B49)&gt;0,INDEX(C47:Z47,1, (COLUMN()-2-B49)),0)*(1-B48))/(B50+1),"")</f>
        <v/>
      </c>
      <c r="W49" s="55" t="str">
        <f>IF(IF((COLUMN()-2-B49)&gt;0,INDEX(C47:Z47,1, (COLUMN()-2-B49)),0)&gt;=1,(B47* IF((COLUMN()-2-B49)&gt;0,INDEX(C47:Z47,1, (COLUMN()-2-B49)),0)*(1-B48))/(B50+1),"")</f>
        <v/>
      </c>
      <c r="X49" s="55" t="str">
        <f>IF(IF((COLUMN()-2-B49)&gt;0,INDEX(C47:Z47,1, (COLUMN()-2-B49)),0)&gt;=1,(B47* IF((COLUMN()-2-B49)&gt;0,INDEX(C47:Z47,1, (COLUMN()-2-B49)),0)*(1-B48))/(B50+1),"")</f>
        <v/>
      </c>
      <c r="Y49" s="55" t="str">
        <f>IF(IF((COLUMN()-2-B49)&gt;0,INDEX(C47:Z47,1, (COLUMN()-2-B49)),0)&gt;=1,(B47* IF((COLUMN()-2-B49)&gt;0,INDEX(C47:Z47,1, (COLUMN()-2-B49)),0)*(1-B48))/(B50+1),"")</f>
        <v/>
      </c>
      <c r="Z49" s="91" t="str">
        <f>IF(IF((COLUMN()-2-B49)&gt;0,INDEX(C47:Z47,1, (COLUMN()-2-B49)),0)&gt;=1,(B47* IF((COLUMN()-2-B49)&gt;0,INDEX(C47:Z47,1, (COLUMN()-2-B49)),0)*(1-B48))/(B50+1),"")</f>
        <v/>
      </c>
      <c r="AA49" s="91"/>
      <c r="AB49" s="91"/>
      <c r="AC49" s="91"/>
      <c r="AD49" s="91"/>
      <c r="AE49" s="91"/>
      <c r="AF49" s="91"/>
      <c r="AG49" s="91"/>
      <c r="AH49" s="91"/>
      <c r="AI49" s="91"/>
      <c r="AJ49" s="91"/>
      <c r="AK49" s="1"/>
    </row>
    <row r="50" spans="1:38">
      <c r="A50" s="90" t="s">
        <v>82</v>
      </c>
      <c r="B50" s="53"/>
      <c r="C50" s="91"/>
      <c r="D50" s="50" t="str">
        <f>IF(SUM(D51),SUM(D51),"")</f>
        <v/>
      </c>
      <c r="E50" s="50" t="str">
        <f>IF(SUM(E51:E52),SUM(E51:E52),"")</f>
        <v/>
      </c>
      <c r="F50" s="50" t="str">
        <f>IF(SUM(F51:F53),SUM(F51:F53),"")</f>
        <v/>
      </c>
      <c r="G50" s="50" t="str">
        <f>IF(SUM(G51:G54),SUM(G51:G54),"")</f>
        <v/>
      </c>
      <c r="H50" s="50" t="str">
        <f>IF(SUM(H51:H55),SUM(H51:H55),"")</f>
        <v/>
      </c>
      <c r="I50" s="50" t="str">
        <f>IF(SUM(I51:I56),SUM(I51:I56),"")</f>
        <v/>
      </c>
      <c r="J50" s="50" t="str">
        <f>IF(SUM(J51:J57),SUM(J51:J57),"")</f>
        <v/>
      </c>
      <c r="K50" s="50" t="str">
        <f>IF(SUM(K51:K58),SUM(K51:K58),"")</f>
        <v/>
      </c>
      <c r="L50" s="50" t="str">
        <f>IF(SUM(L51:L59),SUM(L51:L59),"")</f>
        <v/>
      </c>
      <c r="M50" s="50" t="str">
        <f>IF(SUM(M51:M60),SUM(M51:M60),"")</f>
        <v/>
      </c>
      <c r="N50" s="50" t="str">
        <f>IF(SUM(N51:N61),SUM(N51:N61),"")</f>
        <v/>
      </c>
      <c r="O50" s="55" t="str">
        <f t="shared" ref="O50:Z50" si="16">IF(SUM(O51:O62),SUM(O51:O62),"")</f>
        <v/>
      </c>
      <c r="P50" s="55" t="str">
        <f t="shared" si="16"/>
        <v/>
      </c>
      <c r="Q50" s="55" t="str">
        <f t="shared" si="16"/>
        <v/>
      </c>
      <c r="R50" s="55" t="str">
        <f t="shared" si="16"/>
        <v/>
      </c>
      <c r="S50" s="55" t="str">
        <f t="shared" si="16"/>
        <v/>
      </c>
      <c r="T50" s="55" t="str">
        <f t="shared" si="16"/>
        <v/>
      </c>
      <c r="U50" s="55" t="str">
        <f t="shared" si="16"/>
        <v/>
      </c>
      <c r="V50" s="55" t="str">
        <f t="shared" si="16"/>
        <v/>
      </c>
      <c r="W50" s="55" t="str">
        <f t="shared" si="16"/>
        <v/>
      </c>
      <c r="X50" s="55" t="str">
        <f t="shared" si="16"/>
        <v/>
      </c>
      <c r="Y50" s="55" t="str">
        <f t="shared" si="16"/>
        <v/>
      </c>
      <c r="Z50" s="55" t="str">
        <f t="shared" si="16"/>
        <v/>
      </c>
      <c r="AA50" s="56" t="str">
        <f>IF(SUM(AA53:AA62),SUM(AA53:AA62),"")</f>
        <v/>
      </c>
      <c r="AB50" s="56" t="str">
        <f>IF(SUM(AB54:AB62),SUM(AB54:AB62),"")</f>
        <v/>
      </c>
      <c r="AC50" s="56" t="str">
        <f>IF(SUM(AC55:AC62),SUM(AC55:AC62),"")</f>
        <v/>
      </c>
      <c r="AD50" s="56" t="str">
        <f>IF(SUM(AD56:AD62),SUM(AD56:AD62),"")</f>
        <v/>
      </c>
      <c r="AE50" s="56" t="str">
        <f>IF(SUM(AE57:AE62),SUM(AE57:AE62),"")</f>
        <v/>
      </c>
      <c r="AF50" s="56" t="str">
        <f>IF(SUM(AF58:AF62),SUM(AF58:AF62),"")</f>
        <v/>
      </c>
      <c r="AG50" s="56" t="str">
        <f>IF(SUM(AG59:AG62),SUM(AG59:AG62),"")</f>
        <v/>
      </c>
      <c r="AH50" s="56" t="str">
        <f>IF(SUM(AH60:AH62),SUM(AH60:AH62),"")</f>
        <v/>
      </c>
      <c r="AI50" s="56" t="str">
        <f>IF(SUM(AI61:AI62),SUM(AI61:AI62),"")</f>
        <v/>
      </c>
      <c r="AJ50" s="56" t="str">
        <f>IF(SUM(AJ62),SUM(AJ62),"")</f>
        <v/>
      </c>
      <c r="AK50" s="1"/>
      <c r="AL50" s="1"/>
    </row>
    <row r="51" spans="1:38" hidden="1">
      <c r="A51" s="90" t="s">
        <v>83</v>
      </c>
      <c r="B51" s="51">
        <f>IF('Reverse Engineering Valuation'!F43,'Reverse Engineering Valuation'!H43,'Reverse Engineering Valuation'!E43)</f>
        <v>0</v>
      </c>
      <c r="C51" s="91"/>
      <c r="D51" s="50" t="str">
        <f>IF(OR(NOT(C47),(COLUMN()-3)-(B49+1)&lt;0,(B49+1+B50) - (COLUMN()-2) &lt;0),"",C47*(1-B48)/(B50+1)*B47)</f>
        <v/>
      </c>
      <c r="E51" s="50" t="str">
        <f>IF(OR(NOT(C47),(COLUMN()-3)-(B49+1)&lt;0,(B49+1+B50) - (COLUMN()-2) &lt;0),"",C47*(1-B48)/(B50+1)*B47)</f>
        <v/>
      </c>
      <c r="F51" s="50" t="str">
        <f>IF(OR(NOT(C47),(COLUMN()-3)-(B49+1)&lt;0,(B49+1+B50) - (COLUMN()-2) &lt;0),"",C47*(1-B48)/(B50+1)*B47)</f>
        <v/>
      </c>
      <c r="G51" s="50" t="str">
        <f>IF(OR(NOT(C47),(COLUMN()-3)-(B49+1)&lt;0,(B49+1+B50) - (COLUMN()-2) &lt;0),"",C47*(1-B48)/(B50+1)*B47)</f>
        <v/>
      </c>
      <c r="H51" s="50" t="str">
        <f>IF(OR(NOT(C47),(COLUMN()-3)-(B49+1)&lt;0,(B49+1+B50) - (COLUMN()-2) &lt;0),"",C47*(1-B48)/(B50+1)*B47)</f>
        <v/>
      </c>
      <c r="I51" s="50" t="str">
        <f>IF(OR(NOT(C47),(COLUMN()-3)-(B49+1)&lt;0,(B49+1+B50) - (COLUMN()-2) &lt;0),"",C47*(1-B48)/(B50+1)*B47)</f>
        <v/>
      </c>
      <c r="J51" s="50" t="str">
        <f>IF(OR(NOT(C47),(COLUMN()-3)-(B49+1)&lt;0,(B49+1+B50) - (COLUMN()-2) &lt;0),"",C47*(1-B48)/(B50+1)*B47)</f>
        <v/>
      </c>
      <c r="K51" s="50" t="str">
        <f>IF(OR(NOT(C47),(COLUMN()-3)-(B49+1)&lt;0,(B49+1+B50) - (COLUMN()-2) &lt;0),"",C47*(1-B48)/(B50+1)*B47)</f>
        <v/>
      </c>
      <c r="L51" s="50" t="str">
        <f>IF(OR(NOT(C47),(COLUMN()-3)-(B49+1)&lt;0,(B49+1+B50) - (COLUMN()-2) &lt;0),"",C47*(1-B48)/(B50+1)*B47)</f>
        <v/>
      </c>
      <c r="M51" s="50" t="str">
        <f>IF(OR(NOT(C47),(COLUMN()-3)-(B49+1)&lt;0,(B49+1+B50) - (COLUMN()-2) &lt;0),"",C47*(1-B48)/(B50+1)*B47)</f>
        <v/>
      </c>
      <c r="N51" s="50" t="str">
        <f>IF(OR(NOT(C47),(COLUMN()-3)-(B49+1)&lt;0,(B49+1+B50) - (COLUMN()-2) &lt;0),"",C47*(1-B48)/(B50+1)*B47)</f>
        <v/>
      </c>
      <c r="O51" s="55" t="str">
        <f>IF(OR(NOT(C47),(COLUMN()-3)-(B49+1)&lt;0,(B49+1+B50) - (COLUMN()-2) &lt;0),"",C47*(1-B48)/(B50+1)*B47)</f>
        <v/>
      </c>
      <c r="P51" s="55" t="str">
        <f>IF(OR(NOT(C47),(COLUMN()-3)-(B49+1)&lt;0,(B49+1+B50) - (COLUMN()-2) &lt;0),"",C47*(1-B48)/(B50+1)*B47)</f>
        <v/>
      </c>
      <c r="Q51" s="55" t="str">
        <f>IF(OR(NOT(C47),(COLUMN()-3)-(B49+1)&lt;0,(B49+1+B50) - (COLUMN()-2) &lt;0),"",C47*(1-B48)/(B50+1)*B47)</f>
        <v/>
      </c>
      <c r="R51" s="55" t="str">
        <f>IF(OR(NOT(C47),(COLUMN()-3)-(B49+1)&lt;0,(B49+1+B50) - (COLUMN()-2) &lt;0),"",C47*(1-B48)/(B50+1)*B47)</f>
        <v/>
      </c>
      <c r="S51" s="55" t="str">
        <f>IF(OR(NOT(C47),(COLUMN()-3)-(B49+1)&lt;0,(B49+1+B50) - (COLUMN()-2) &lt;0),"",C47*(1-B48)/(B50+1)*B47)</f>
        <v/>
      </c>
      <c r="T51" s="55" t="str">
        <f>IF(OR(NOT(C47),(COLUMN()-3)-(B49+1)&lt;0,(B49+1+B50) - (COLUMN()-2) &lt;0),"",C47*(1-B48)/(B50+1)*B47)</f>
        <v/>
      </c>
      <c r="U51" s="55" t="str">
        <f>IF(OR(NOT(C47),(COLUMN()-3)-(B49+1)&lt;0,(B49+1+B50) - (COLUMN()-2) &lt;0),"",C47*(1-B48)/(B50+1)*B47)</f>
        <v/>
      </c>
      <c r="V51" s="55" t="str">
        <f>IF(OR(NOT(C47),(COLUMN()-3)-(B49+1)&lt;0,(B49+1+B50) - (COLUMN()-2) &lt;0),"",C47*(1-B48)/(B50+1)*B47)</f>
        <v/>
      </c>
      <c r="W51" s="55" t="str">
        <f>IF(OR(NOT(C47),(COLUMN()-3)-(B49+1)&lt;0,(B49+1+B50) - (COLUMN()-2) &lt;0),"",C47*(1-B48)/(B50+1)*B47)</f>
        <v/>
      </c>
      <c r="X51" s="55" t="str">
        <f>IF(OR(NOT(C47),(COLUMN()-3)-(B49+1)&lt;0,(B49+1+B50) - (COLUMN()-2) &lt;0),"",C47*(1-B48)/(B50+1)*B47)</f>
        <v/>
      </c>
      <c r="Y51" s="55" t="str">
        <f>IF(OR(NOT(C47),(COLUMN()-3)-(B49+1)&lt;0,(B49+1+B50) - (COLUMN()-2) &lt;0),"",C47*(1-B48)/(B50+1)*B47)</f>
        <v/>
      </c>
      <c r="Z51" s="55" t="str">
        <f>IF(OR(NOT(C47),(COLUMN()-3)-(B49+1)&lt;0,(B49+1+B50) - (COLUMN()-2) &lt;0),"",C47*(1-B48)/(B50+1)*B47)</f>
        <v/>
      </c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1"/>
    </row>
    <row r="52" spans="1:38" hidden="1">
      <c r="A52" s="90" t="s">
        <v>84</v>
      </c>
      <c r="B52" s="54">
        <f>B51-SUM(C47:N47)</f>
        <v>0</v>
      </c>
      <c r="C52" s="91"/>
      <c r="D52" s="91"/>
      <c r="E52" s="50" t="str">
        <f>IF(OR(NOT(D47),(COLUMN()-3)-(B49+2)&lt;0,(B49+2 +B50) - (COLUMN()-2) &lt;0),"",D47*(1-B48)/(B50+1)*B47)</f>
        <v/>
      </c>
      <c r="F52" s="50" t="str">
        <f>IF(OR(NOT(D47),(COLUMN()-3)-(B49+2)&lt;0,(B49+2 +B50) - (COLUMN()-2) &lt;0),"",D47*(1-B48)/(B50+1)*B47)</f>
        <v/>
      </c>
      <c r="G52" s="50" t="str">
        <f>IF(OR(NOT(D47),(COLUMN()-3)-(B49+2)&lt;0,(B49+2 +B50) - (COLUMN()-2) &lt;0),"",D47*(1-B48)/(B50+1)*B47)</f>
        <v/>
      </c>
      <c r="H52" s="50" t="str">
        <f>IF(OR(NOT(D47),(COLUMN()-3)-(B49+2)&lt;0,(B49+2 +B50) - (COLUMN()-2) &lt;0),"",D47*(1-B48)/(B50+1)*B47)</f>
        <v/>
      </c>
      <c r="I52" s="50" t="str">
        <f>IF(OR(NOT(D47),(COLUMN()-3)-(B49+2)&lt;0,(B49+2 +B50) - (COLUMN()-2) &lt;0),"",D47*(1-B48)/(B50+1)*B47)</f>
        <v/>
      </c>
      <c r="J52" s="50" t="str">
        <f>IF(OR(NOT(D47),(COLUMN()-3)-(B49+2)&lt;0,(B49+2 +B50) - (COLUMN()-2) &lt;0),"",D47*(1-B48)/(B50+1)*B47)</f>
        <v/>
      </c>
      <c r="K52" s="50" t="str">
        <f>IF(OR(NOT(D47),(COLUMN()-3)-(B49+2)&lt;0,(B49+2 +B50) - (COLUMN()-2) &lt;0),"",D47*(1-B48)/(B50+1)*B47)</f>
        <v/>
      </c>
      <c r="L52" s="50" t="str">
        <f>IF(OR(NOT(D47),(COLUMN()-3)-(B49+2)&lt;0,(B49+2 +B50) - (COLUMN()-2) &lt;0),"",D47*(1-B48)/(B50+1)*B47)</f>
        <v/>
      </c>
      <c r="M52" s="50" t="str">
        <f>IF(OR(NOT(D47),(COLUMN()-3)-(B49+2)&lt;0,(B49+2 +B50) - (COLUMN()-2) &lt;0),"",D47*(1-B48)/(B50+1)*B47)</f>
        <v/>
      </c>
      <c r="N52" s="50" t="str">
        <f>IF(OR(NOT(D47),(COLUMN()-3)-(B49+2)&lt;0,(B49+2 +B50) - (COLUMN()-2) &lt;0),"",D47*(1-B48)/(B50+1)*B47)</f>
        <v/>
      </c>
      <c r="O52" s="55" t="str">
        <f>IF(OR(NOT(D47),(COLUMN()-3)-(B49+2)&lt;0,(B49+2 +B50) - (COLUMN()-2) &lt;0),"",D47*(1-B48)/(B50+1)*B47)</f>
        <v/>
      </c>
      <c r="P52" s="55" t="str">
        <f>IF(OR(NOT(D47),(COLUMN()-3)-(B49+2)&lt;0,(B49+2 +B50) - (COLUMN()-2) &lt;0),"",D47*(1-B48)/(B50+1)*B47)</f>
        <v/>
      </c>
      <c r="Q52" s="55" t="str">
        <f>IF(OR(NOT(D47),(COLUMN()-3)-(B49+2)&lt;0,(B49+2 +B50) - (COLUMN()-2) &lt;0),"",D47*(1-B48)/(B50+1)*B47)</f>
        <v/>
      </c>
      <c r="R52" s="55" t="str">
        <f>IF(OR(NOT(D47),(COLUMN()-3)-(B49+2)&lt;0,(B49+2 +B50) - (COLUMN()-2) &lt;0),"",D47*(1-B48)/(B50+1)*B47)</f>
        <v/>
      </c>
      <c r="S52" s="55" t="str">
        <f>IF(OR(NOT(D47),(COLUMN()-3)-(B49+2)&lt;0,(B49+2 +B50) - (COLUMN()-2) &lt;0),"",D47*(1-B48)/(B50+1)*B47)</f>
        <v/>
      </c>
      <c r="T52" s="55" t="str">
        <f>IF(OR(NOT(D47),(COLUMN()-3)-(B49+2)&lt;0,(B49+2 +B50) - (COLUMN()-2) &lt;0),"",D47*(1-B48)/(B50+1)*B47)</f>
        <v/>
      </c>
      <c r="U52" s="55" t="str">
        <f>IF(OR(NOT(D47),(COLUMN()-3)-(B49+2)&lt;0,(B49+2 +B50) - (COLUMN()-2) &lt;0),"",D47*(1-B48)/(B50+1)*B47)</f>
        <v/>
      </c>
      <c r="V52" s="55" t="str">
        <f>IF(OR(NOT(D47),(COLUMN()-3)-(B49+2)&lt;0,(B49+2 +B50) - (COLUMN()-2) &lt;0),"",D47*(1-B48)/(B50+1)*B47)</f>
        <v/>
      </c>
      <c r="W52" s="55" t="str">
        <f>IF(OR(NOT(D47),(COLUMN()-3)-(B49+2)&lt;0,(B49+2 +B50) - (COLUMN()-2) &lt;0),"",D47*(1-B48)/(B50+1)*B47)</f>
        <v/>
      </c>
      <c r="X52" s="55" t="str">
        <f>IF(OR(NOT(D47),(COLUMN()-3)-(B49+2)&lt;0,(B49+2 +B50) - (COLUMN()-2) &lt;0),"",D47*(1-B48)/(B50+1)*B47)</f>
        <v/>
      </c>
      <c r="Y52" s="55" t="str">
        <f>IF(OR(NOT(D47),(COLUMN()-3)-(B49+2)&lt;0,(B49+2 +B50) - (COLUMN()-2) &lt;0),"",D47*(1-B48)/(B50+1)*B47)</f>
        <v/>
      </c>
      <c r="Z52" s="55" t="str">
        <f>IF(OR(NOT(D47),(COLUMN()-3)-(B49+2)&lt;0,(B49+2 +B50) - (COLUMN()-2) &lt;0),"",D47*(1-B48)/(B50+1)*B47)</f>
        <v/>
      </c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1"/>
    </row>
    <row r="53" spans="1:38" hidden="1">
      <c r="A53" s="91"/>
      <c r="B53" s="91"/>
      <c r="C53" s="91"/>
      <c r="D53" s="91"/>
      <c r="E53" s="91"/>
      <c r="F53" s="50" t="str">
        <f>IF(OR(NOT(E47),(COLUMN()-3)-(B49+3)&lt;0,(B49+3+B50) - (COLUMN()-2) &lt;0),"",E47*(1-B48)/(B50+1)*B47)</f>
        <v/>
      </c>
      <c r="G53" s="50" t="str">
        <f>IF(OR(NOT(E47),(COLUMN()-3)-(B49+3)&lt;0,(B49+3+B50) - (COLUMN()-2) &lt;0),"",E47*(1-B48)/(B50+1)*B47)</f>
        <v/>
      </c>
      <c r="H53" s="50" t="str">
        <f>IF(OR(NOT(E47),(COLUMN()-3)-(B49+3)&lt;0,(B49+3+B50) - (COLUMN()-2) &lt;0),"",E47*(1-B48)/(B50+1)*B47)</f>
        <v/>
      </c>
      <c r="I53" s="50" t="str">
        <f>IF(OR(NOT(E47),(COLUMN()-3)-(B49+3)&lt;0,(B49+3+B50) - (COLUMN()-2) &lt;0),"",E47*(1-B48)/(B50+1)*B47)</f>
        <v/>
      </c>
      <c r="J53" s="50" t="str">
        <f>IF(OR(NOT(E47),(COLUMN()-3)-(B49+3)&lt;0,(B49+3+B50) - (COLUMN()-2) &lt;0),"",E47*(1-B48)/(B50+1)*B47)</f>
        <v/>
      </c>
      <c r="K53" s="50" t="str">
        <f>IF(OR(NOT(E47),(COLUMN()-3)-(B49+3)&lt;0,(B49+3+B50) - (COLUMN()-2) &lt;0),"",E47*(1-B48)/(B50+1)*B47)</f>
        <v/>
      </c>
      <c r="L53" s="50" t="str">
        <f>IF(OR(NOT(E47),(COLUMN()-3)-(B49+3)&lt;0,(B49+3+B50) - (COLUMN()-2) &lt;0),"",E47*(1-B48)/(B50+1)*B47)</f>
        <v/>
      </c>
      <c r="M53" s="50" t="str">
        <f>IF(OR(NOT(E47),(COLUMN()-3)-(B49+3)&lt;0,(B49+3+B50) - (COLUMN()-2) &lt;0),"",E47*(1-B48)/(B50+1)*B47)</f>
        <v/>
      </c>
      <c r="N53" s="50" t="str">
        <f>IF(OR(NOT(E47),(COLUMN()-3)-(B49+3)&lt;0,(B49+3+B50) - (COLUMN()-2) &lt;0),"",E47*(1-B48)/(B50+1)*B47)</f>
        <v/>
      </c>
      <c r="O53" s="55" t="str">
        <f>IF(OR(NOT(E47),(COLUMN()-3)-(B49+3)&lt;0,(B49+3+B50) - (COLUMN()-2) &lt;0),"",E47*(1-B48)/(B50+1)*B47)</f>
        <v/>
      </c>
      <c r="P53" s="55" t="str">
        <f>IF(OR(NOT(E47),(COLUMN()-3)-(B49+3)&lt;0,(B49+3+B50) - (COLUMN()-2) &lt;0),"",E47*(1-B48)/(B50+1)*B47)</f>
        <v/>
      </c>
      <c r="Q53" s="55" t="str">
        <f>IF(OR(NOT(E47),(COLUMN()-3)-(B49+3)&lt;0,(B49+3+B50) - (COLUMN()-2) &lt;0),"",E47*(1-B48)/(B50+1)*B47)</f>
        <v/>
      </c>
      <c r="R53" s="55" t="str">
        <f>IF(OR(NOT(E47),(COLUMN()-3)-(B49+3)&lt;0,(B49+3+B50) - (COLUMN()-2) &lt;0),"",E47*(1-B48)/(B50+1)*B47)</f>
        <v/>
      </c>
      <c r="S53" s="55" t="str">
        <f>IF(OR(NOT(E47),(COLUMN()-3)-(B49+3)&lt;0,(B49+3+B50) - (COLUMN()-2) &lt;0),"",E47*(1-B48)/(B50+1)*B47)</f>
        <v/>
      </c>
      <c r="T53" s="55" t="str">
        <f>IF(OR(NOT(E47),(COLUMN()-3)-(B49+3)&lt;0,(B49+3+B50) - (COLUMN()-2) &lt;0),"",E47*(1-B48)/(B50+1)*B47)</f>
        <v/>
      </c>
      <c r="U53" s="55" t="str">
        <f>IF(OR(NOT(E47),(COLUMN()-3)-(B49+3)&lt;0,(B49+3+B50) - (COLUMN()-2) &lt;0),"",E47*(1-B48)/(B50+1)*B47)</f>
        <v/>
      </c>
      <c r="V53" s="55" t="str">
        <f>IF(OR(NOT(E47),(COLUMN()-3)-(B49+3)&lt;0,(B49+3+B50) - (COLUMN()-2) &lt;0),"",E47*(1-B48)/(B50+1)*B47)</f>
        <v/>
      </c>
      <c r="W53" s="55" t="str">
        <f>IF(OR(NOT(E47),(COLUMN()-3)-(B49+3)&lt;0,(B49+3+B50) - (COLUMN()-2) &lt;0),"",E47*(1-B48)/(B50+1)*B47)</f>
        <v/>
      </c>
      <c r="X53" s="55" t="str">
        <f>IF(OR(NOT(E47),(COLUMN()-3)-(B49+3)&lt;0,(B49+3+B50) - (COLUMN()-2) &lt;0),"",E47*(1-B48)/(B50+1)*B47)</f>
        <v/>
      </c>
      <c r="Y53" s="55" t="str">
        <f>IF(OR(NOT(E47),(COLUMN()-3)-(B49+3)&lt;0,(B49+3+B50) - (COLUMN()-2) &lt;0),"",E47*(1-B48)/(B50+1)*B47)</f>
        <v/>
      </c>
      <c r="Z53" s="55" t="str">
        <f>IF(OR(NOT(E47),(COLUMN()-3)-(B49+3)&lt;0,(B49+3+B50) - (COLUMN()-2) &lt;0),"",E47*(1-B48)/(B50+1)*B47)</f>
        <v/>
      </c>
      <c r="AA53" s="56" t="str">
        <f>IF(OR(NOT(E47),(COLUMN()-3)-(B49+3)&lt;0,(B49+3+B50) - (COLUMN()-2) &lt;0),"",E47*(1-B48)/(B50+1)*B47)</f>
        <v/>
      </c>
      <c r="AB53" s="91"/>
      <c r="AC53" s="91"/>
      <c r="AD53" s="91"/>
      <c r="AE53" s="91"/>
      <c r="AF53" s="91"/>
      <c r="AG53" s="91"/>
      <c r="AH53" s="91"/>
      <c r="AI53" s="91"/>
      <c r="AJ53" s="91"/>
    </row>
    <row r="54" spans="1:38" hidden="1">
      <c r="A54" s="91"/>
      <c r="B54" s="91"/>
      <c r="C54" s="91"/>
      <c r="D54" s="91"/>
      <c r="E54" s="91"/>
      <c r="F54" s="91"/>
      <c r="G54" s="50" t="str">
        <f>IF(OR(NOT(F47),(COLUMN()-3)-(B49+4)&lt;0,(B49+4+B50) - (COLUMN()-2) &lt;0),"",F47*(1-B48)/(B50+1)*B47)</f>
        <v/>
      </c>
      <c r="H54" s="50" t="str">
        <f>IF(OR(NOT(F47),(COLUMN()-3)-(B49+4)&lt;0,(B49+4+B50) - (COLUMN()-2) &lt;0),"",F47*(1-B48)/(B50+1)*B47)</f>
        <v/>
      </c>
      <c r="I54" s="50" t="str">
        <f>IF(OR(NOT(F47),(COLUMN()-3)-(B49+4)&lt;0,(B49+4+B50) - (COLUMN()-2) &lt;0),"",F47*(1-B48)/(B50+1)*B47)</f>
        <v/>
      </c>
      <c r="J54" s="50" t="str">
        <f>IF(OR(NOT(F47),(COLUMN()-3)-(B49+4)&lt;0,(B49+4+B50) - (COLUMN()-2) &lt;0),"",F47*(1-B48)/(B50+1)*B47)</f>
        <v/>
      </c>
      <c r="K54" s="50" t="str">
        <f>IF(OR(NOT(F47),(COLUMN()-3)-(B49+4)&lt;0,(B49+4+B50) - (COLUMN()-2) &lt;0),"",F47*(1-B48)/(B50+1)*B47)</f>
        <v/>
      </c>
      <c r="L54" s="50" t="str">
        <f>IF(OR(NOT(F47),(COLUMN()-3)-(B49+4)&lt;0,(B49+4+B50) - (COLUMN()-2) &lt;0),"",F47*(1-B48)/(B50+1)*B47)</f>
        <v/>
      </c>
      <c r="M54" s="50" t="str">
        <f>IF(OR(NOT(F47),(COLUMN()-3)-(B49+4)&lt;0,(B49+4+B50) - (COLUMN()-2) &lt;0),"",F47*(1-B48)/(B50+1)*B47)</f>
        <v/>
      </c>
      <c r="N54" s="50" t="str">
        <f>IF(OR(NOT(F47),(COLUMN()-3)-(B49+4)&lt;0,(B49+4+B50) - (COLUMN()-2) &lt;0),"",F47*(1-B48)/(B50+1)*B47)</f>
        <v/>
      </c>
      <c r="O54" s="55" t="str">
        <f>IF(OR(NOT(F47),(COLUMN()-3)-(B49+4)&lt;0,(B49+4+B50) - (COLUMN()-2) &lt;0),"",F47*(1-B48)/(B50+1)*B47)</f>
        <v/>
      </c>
      <c r="P54" s="55" t="str">
        <f>IF(OR(NOT(F47),(COLUMN()-3)-(B49+4)&lt;0,(B49+4+B50) - (COLUMN()-2) &lt;0),"",F47*(1-B48)/(B50+1)*B47)</f>
        <v/>
      </c>
      <c r="Q54" s="55" t="str">
        <f>IF(OR(NOT(F47),(COLUMN()-3)-(B49+4)&lt;0,(B49+4+B50) - (COLUMN()-2) &lt;0),"",F47*(1-B48)/(B50+1)*B47)</f>
        <v/>
      </c>
      <c r="R54" s="55" t="str">
        <f>IF(OR(NOT(F47),(COLUMN()-3)-(B49+4)&lt;0,(B49+4+B50) - (COLUMN()-2) &lt;0),"",F47*(1-B48)/(B50+1)*B47)</f>
        <v/>
      </c>
      <c r="S54" s="55" t="str">
        <f>IF(OR(NOT(F47),(COLUMN()-3)-(B49+4)&lt;0,(B49+4+B50) - (COLUMN()-2) &lt;0),"",F47*(1-B48)/(B50+1)*B47)</f>
        <v/>
      </c>
      <c r="T54" s="55" t="str">
        <f>IF(OR(NOT(F47),(COLUMN()-3)-(B49+4)&lt;0,(B49+4+B50) - (COLUMN()-2) &lt;0),"",F47*(1-B48)/(B50+1)*B47)</f>
        <v/>
      </c>
      <c r="U54" s="55" t="str">
        <f>IF(OR(NOT(F47),(COLUMN()-3)-(B49+4)&lt;0,(B49+4+B50) - (COLUMN()-2) &lt;0),"",F47*(1-B48)/(B50+1)*B47)</f>
        <v/>
      </c>
      <c r="V54" s="55" t="str">
        <f>IF(OR(NOT(F47),(COLUMN()-3)-(B49+4)&lt;0,(B49+4+B50) - (COLUMN()-2) &lt;0),"",F47*(1-B48)/(B50+1)*B47)</f>
        <v/>
      </c>
      <c r="W54" s="55" t="str">
        <f>IF(OR(NOT(F47),(COLUMN()-3)-(B49+4)&lt;0,(B49+4+B50) - (COLUMN()-2) &lt;0),"",F47*(1-B48)/(B50+1)*B47)</f>
        <v/>
      </c>
      <c r="X54" s="55" t="str">
        <f>IF(OR(NOT(F47),(COLUMN()-3)-(B49+4)&lt;0,(B49+4+B50) - (COLUMN()-2) &lt;0),"",F47*(1-B48)/(B50+1)*B47)</f>
        <v/>
      </c>
      <c r="Y54" s="55" t="str">
        <f>IF(OR(NOT(F47),(COLUMN()-3)-(B49+4)&lt;0,(B49+4+B50) - (COLUMN()-2) &lt;0),"",F47*(1-B48)/(B50+1)*B47)</f>
        <v/>
      </c>
      <c r="Z54" s="55" t="str">
        <f>IF(OR(NOT(F47),(COLUMN()-3)-(B49+4)&lt;0,(B49+4+B50) - (COLUMN()-2) &lt;0),"",F47*(1-B48)/(B50+1)*B47)</f>
        <v/>
      </c>
      <c r="AA54" s="56" t="str">
        <f>IF(OR(NOT(F47),(COLUMN()-3)-(B49+4)&lt;0,(B49+4+B50) - (COLUMN()-2) &lt;0),"",F47*(1-B48)/(B50+1)*B47)</f>
        <v/>
      </c>
      <c r="AB54" s="56" t="str">
        <f>IF(OR(NOT(F47),(COLUMN()-3)-(B49+4)&lt;0,(B49+4+B50) - (COLUMN()-2) &lt;0),"",F47*(1-B48)/(B50+1)*B47)</f>
        <v/>
      </c>
      <c r="AC54" s="91"/>
      <c r="AD54" s="91"/>
      <c r="AE54" s="91"/>
      <c r="AF54" s="91"/>
      <c r="AG54" s="91"/>
      <c r="AH54" s="91"/>
      <c r="AI54" s="91"/>
      <c r="AJ54" s="91"/>
    </row>
    <row r="55" spans="1:38" hidden="1">
      <c r="A55" s="91"/>
      <c r="B55" s="91"/>
      <c r="C55" s="91"/>
      <c r="D55" s="91"/>
      <c r="E55" s="91"/>
      <c r="F55" s="91"/>
      <c r="G55" s="91"/>
      <c r="H55" s="50" t="str">
        <f>IF(OR(NOT(G47),(COLUMN()-3)-(B49+5)&lt;0,(B49+5+B50) - (COLUMN()-2) &lt;0),"",G47*(1-B48)/(B50+1)*B47)</f>
        <v/>
      </c>
      <c r="I55" s="50" t="str">
        <f>IF(OR(NOT(G47),(COLUMN()-3)-(B49+5)&lt;0,(B49+5+B50) - (COLUMN()-2) &lt;0),"",G47*(1-B48)/(B50+1)*B47)</f>
        <v/>
      </c>
      <c r="J55" s="50" t="str">
        <f>IF(OR(NOT(G47),(COLUMN()-3)-(B49+5)&lt;0,(B49+5+B50) - (COLUMN()-2) &lt;0),"",G47*(1-B48)/(B50+1)*B47)</f>
        <v/>
      </c>
      <c r="K55" s="50" t="str">
        <f>IF(OR(NOT(G47),(COLUMN()-3)-(B49+5)&lt;0,(B49+5+B50) - (COLUMN()-2) &lt;0),"",G47*(1-B48)/(B50+1)*B47)</f>
        <v/>
      </c>
      <c r="L55" s="50" t="str">
        <f>IF(OR(NOT(G47),(COLUMN()-3)-(B49+5)&lt;0,(B49+5+B50) - (COLUMN()-2) &lt;0),"",G47*(1-B48)/(B50+1)*B47)</f>
        <v/>
      </c>
      <c r="M55" s="50" t="str">
        <f>IF(OR(NOT(G47),(COLUMN()-3)-(B49+5)&lt;0,(B49+5+B50) - (COLUMN()-2) &lt;0),"",G47*(1-B48)/(B50+1)*B47)</f>
        <v/>
      </c>
      <c r="N55" s="50" t="str">
        <f>IF(OR(NOT(G47),(COLUMN()-3)-(B49+5)&lt;0,(B49+5+B50) - (COLUMN()-2) &lt;0),"",G47*(1-B48)/(B50+1)*B47)</f>
        <v/>
      </c>
      <c r="O55" s="55" t="str">
        <f>IF(OR(NOT(G47),(COLUMN()-3)-(B49+5)&lt;0,(B49+5+B50) - (COLUMN()-2) &lt;0),"",G47*(1-B48)/(B50+1)*B47)</f>
        <v/>
      </c>
      <c r="P55" s="55" t="str">
        <f>IF(OR(NOT(G47),(COLUMN()-3)-(B49+5)&lt;0,(B49+5+B50) - (COLUMN()-2) &lt;0),"",G47*(1-B48)/(B50+1)*B47)</f>
        <v/>
      </c>
      <c r="Q55" s="55" t="str">
        <f>IF(OR(NOT(G47),(COLUMN()-3)-(B49+5)&lt;0,(B49+5+B50) - (COLUMN()-2) &lt;0),"",G47*(1-B48)/(B50+1)*B47)</f>
        <v/>
      </c>
      <c r="R55" s="55" t="str">
        <f>IF(OR(NOT(G47),(COLUMN()-3)-(B49+5)&lt;0,(B49+5+B50) - (COLUMN()-2) &lt;0),"",G47*(1-B48)/(B50+1)*B47)</f>
        <v/>
      </c>
      <c r="S55" s="55" t="str">
        <f>IF(OR(NOT(G47),(COLUMN()-3)-(B49+5)&lt;0,(B49+5+B50) - (COLUMN()-2) &lt;0),"",G47*(1-B48)/(B50+1)*B47)</f>
        <v/>
      </c>
      <c r="T55" s="55" t="str">
        <f>IF(OR(NOT(G47),(COLUMN()-3)-(B49+5)&lt;0,(B49+5+B50) - (COLUMN()-2) &lt;0),"",G47*(1-B48)/(B50+1)*B47)</f>
        <v/>
      </c>
      <c r="U55" s="55" t="str">
        <f>IF(OR(NOT(G47),(COLUMN()-3)-(B49+5)&lt;0,(B49+5+B50) - (COLUMN()-2) &lt;0),"",G47*(1-B48)/(B50+1)*B47)</f>
        <v/>
      </c>
      <c r="V55" s="55" t="str">
        <f>IF(OR(NOT(G47),(COLUMN()-3)-(B49+5)&lt;0,(B49+5+B50) - (COLUMN()-2) &lt;0),"",G47*(1-B48)/(B50+1)*B47)</f>
        <v/>
      </c>
      <c r="W55" s="55" t="str">
        <f>IF(OR(NOT(G47),(COLUMN()-3)-(B49+5)&lt;0,(B49+5+B50) - (COLUMN()-2) &lt;0),"",G47*(1-B48)/(B50+1)*B47)</f>
        <v/>
      </c>
      <c r="X55" s="55" t="str">
        <f>IF(OR(NOT(G47),(COLUMN()-3)-(B49+5)&lt;0,(B49+5+B50) - (COLUMN()-2) &lt;0),"",G47*(1-B48)/(B50+1)*B47)</f>
        <v/>
      </c>
      <c r="Y55" s="55" t="str">
        <f>IF(OR(NOT(G47),(COLUMN()-3)-(B49+5)&lt;0,(B49+5+B50) - (COLUMN()-2) &lt;0),"",G47*(1-B48)/(B50+1)*B47)</f>
        <v/>
      </c>
      <c r="Z55" s="55" t="str">
        <f>IF(OR(NOT(G47),(COLUMN()-3)-(B49+5)&lt;0,(B49+5+B50) - (COLUMN()-2) &lt;0),"",G47*(1-B48)/(B50+1)*B47)</f>
        <v/>
      </c>
      <c r="AA55" s="56" t="str">
        <f>IF(OR(NOT(G47),(COLUMN()-3)-(B49+5)&lt;0,(B49+5+B50) - (COLUMN()-2) &lt;0),"",G47*(1-B48)/(B50+1)*B47)</f>
        <v/>
      </c>
      <c r="AB55" s="56" t="str">
        <f>IF(OR(NOT(G47),(COLUMN()-3)-(B49+5)&lt;0,(B49+5+B50) - (COLUMN()-2) &lt;0),"",G47*(1-B48)/(B50+1)*B47)</f>
        <v/>
      </c>
      <c r="AC55" s="56" t="str">
        <f>IF(OR(NOT(G47),(COLUMN()-3)-(B49+5)&lt;0,(B49+5+B50) - (COLUMN()-2) &lt;0),"",G47*(1-B48)/(B50+1)*B47)</f>
        <v/>
      </c>
      <c r="AD55" s="91"/>
      <c r="AE55" s="91"/>
      <c r="AF55" s="91"/>
      <c r="AG55" s="91"/>
      <c r="AH55" s="91"/>
      <c r="AI55" s="91"/>
      <c r="AJ55" s="91"/>
    </row>
    <row r="56" spans="1:38" hidden="1">
      <c r="A56" s="91"/>
      <c r="B56" s="91"/>
      <c r="C56" s="91"/>
      <c r="D56" s="91"/>
      <c r="E56" s="91"/>
      <c r="F56" s="91"/>
      <c r="G56" s="91"/>
      <c r="H56" s="91"/>
      <c r="I56" s="50" t="str">
        <f>IF(OR(NOT(H47),(COLUMN()-3)-(B49+6)&lt;0,(B49+6+B50) - (COLUMN()-2) &lt;0),"",H47*(1-B48)/(B50+1)*B47)</f>
        <v/>
      </c>
      <c r="J56" s="50" t="str">
        <f>IF(OR(NOT(H47),(COLUMN()-3)-(B49+6)&lt;0,(B49+6+B50) - (COLUMN()-2) &lt;0),"",H47*(1-B48)/(B50+1)*B47)</f>
        <v/>
      </c>
      <c r="K56" s="50" t="str">
        <f>IF(OR(NOT(H47),(COLUMN()-3)-(B49+6)&lt;0,(B49+6+B50) - (COLUMN()-2) &lt;0),"",H47*(1-B48)/(B50+1)*B47)</f>
        <v/>
      </c>
      <c r="L56" s="50" t="str">
        <f>IF(OR(NOT(H47),(COLUMN()-3)-(B49+6)&lt;0,(B49+6+B50) - (COLUMN()-2) &lt;0),"",H47*(1-B48)/(B50+1)*B47)</f>
        <v/>
      </c>
      <c r="M56" s="50" t="str">
        <f>IF(OR(NOT(H47),(COLUMN()-3)-(B49+6)&lt;0,(B49+6+B50) - (COLUMN()-2) &lt;0),"",H47*(1-B48)/(B50+1)*B47)</f>
        <v/>
      </c>
      <c r="N56" s="50" t="str">
        <f>IF(OR(NOT(H47),(COLUMN()-3)-(B49+6)&lt;0,(B49+6+B50) - (COLUMN()-2) &lt;0),"",H47*(1-B48)/(B50+1)*B47)</f>
        <v/>
      </c>
      <c r="O56" s="55" t="str">
        <f>IF(OR(NOT(H47),(COLUMN()-3)-(B49+6)&lt;0,(B49+6+B50) - (COLUMN()-2) &lt;0),"",H47*(1-B48)/(B50+1)*B47)</f>
        <v/>
      </c>
      <c r="P56" s="55" t="str">
        <f>IF(OR(NOT(H47),(COLUMN()-3)-(B49+6)&lt;0,(B49+6+B50) - (COLUMN()-2) &lt;0),"",H47*(1-B48)/(B50+1)*B47)</f>
        <v/>
      </c>
      <c r="Q56" s="55" t="str">
        <f>IF(OR(NOT(H47),(COLUMN()-3)-(B49+6)&lt;0,(B49+6+B50) - (COLUMN()-2) &lt;0),"",H47*(1-B48)/(B50+1)*B47)</f>
        <v/>
      </c>
      <c r="R56" s="55" t="str">
        <f>IF(OR(NOT(H47),(COLUMN()-3)-(B49+6)&lt;0,(B49+6+B50) - (COLUMN()-2) &lt;0),"",H47*(1-B48)/(B50+1)*B47)</f>
        <v/>
      </c>
      <c r="S56" s="55" t="str">
        <f>IF(OR(NOT(H47),(COLUMN()-3)-(B49+6)&lt;0,(B49+6+B50) - (COLUMN()-2) &lt;0),"",H47*(1-B48)/(B50+1)*B47)</f>
        <v/>
      </c>
      <c r="T56" s="55" t="str">
        <f>IF(OR(NOT(H47),(COLUMN()-3)-(B49+6)&lt;0,(B49+6+B50) - (COLUMN()-2) &lt;0),"",H47*(1-B48)/(B50+1)*B47)</f>
        <v/>
      </c>
      <c r="U56" s="55" t="str">
        <f>IF(OR(NOT(H47),(COLUMN()-3)-(B49+6)&lt;0,(B49+6+B50) - (COLUMN()-2) &lt;0),"",H47*(1-B48)/(B50+1)*B47)</f>
        <v/>
      </c>
      <c r="V56" s="55" t="str">
        <f>IF(OR(NOT(H47),(COLUMN()-3)-(B49+6)&lt;0,(B49+6+B50) - (COLUMN()-2) &lt;0),"",H47*(1-B48)/(B50+1)*B47)</f>
        <v/>
      </c>
      <c r="W56" s="55" t="str">
        <f>IF(OR(NOT(H47),(COLUMN()-3)-(B49+6)&lt;0,(B49+6+B50) - (COLUMN()-2) &lt;0),"",H47*(1-B48)/(B50+1)*B47)</f>
        <v/>
      </c>
      <c r="X56" s="55" t="str">
        <f>IF(OR(NOT(H47),(COLUMN()-3)-(B49+6)&lt;0,(B49+6+B50) - (COLUMN()-2) &lt;0),"",H47*(1-B48)/(B50+1)*B47)</f>
        <v/>
      </c>
      <c r="Y56" s="55" t="str">
        <f>IF(OR(NOT(H47),(COLUMN()-3)-(B49+6)&lt;0,(B49+6+B50) - (COLUMN()-2) &lt;0),"",H47*(1-B48)/(B50+1)*B47)</f>
        <v/>
      </c>
      <c r="Z56" s="55" t="str">
        <f>IF(OR(NOT(H47),(COLUMN()-3)-(B49+6)&lt;0,(B49+6+B50) - (COLUMN()-2) &lt;0),"",H47*(1-B48)/(B50+1)*B47)</f>
        <v/>
      </c>
      <c r="AA56" s="56" t="str">
        <f>IF(OR(NOT(H47),(COLUMN()-3)-(B49+6)&lt;0,(B49+6+B50) - (COLUMN()-2) &lt;0),"",H47*(1-B48)/(B50+1)*B47)</f>
        <v/>
      </c>
      <c r="AB56" s="56" t="str">
        <f>IF(OR(NOT(H47),(COLUMN()-3)-(B49+6)&lt;0,(B49+6+B50) - (COLUMN()-2) &lt;0),"",H47*(1-B48)/(B50+1)*B47)</f>
        <v/>
      </c>
      <c r="AC56" s="56" t="str">
        <f>IF(OR(NOT(H47),(COLUMN()-3)-(B49+6)&lt;0,(B49+6+B50) - (COLUMN()-2) &lt;0),"",H47*(1-B48)/(B50+1)*B47)</f>
        <v/>
      </c>
      <c r="AD56" s="56" t="str">
        <f>IF(OR(NOT(H47),(COLUMN()-3)-(B49+6)&lt;0,(B49+6+B50) - (COLUMN()-2) &lt;0),"",H47*(1-B48)/(B50+1)*B47)</f>
        <v/>
      </c>
      <c r="AE56" s="91"/>
      <c r="AF56" s="91"/>
      <c r="AG56" s="91"/>
      <c r="AH56" s="91"/>
      <c r="AI56" s="91"/>
      <c r="AJ56" s="91"/>
    </row>
    <row r="57" spans="1:38" hidden="1">
      <c r="A57" s="91"/>
      <c r="B57" s="91"/>
      <c r="C57" s="91"/>
      <c r="D57" s="91"/>
      <c r="E57" s="91"/>
      <c r="F57" s="91"/>
      <c r="G57" s="91"/>
      <c r="H57" s="91"/>
      <c r="I57" s="91"/>
      <c r="J57" s="50" t="str">
        <f>IF(OR(NOT(I47),(COLUMN()-3)-(B49+7)&lt;0,(B49+7+B50) - (COLUMN()-2) &lt;0),"",I47*(1-B48)/(B50+1)*B47)</f>
        <v/>
      </c>
      <c r="K57" s="50" t="str">
        <f>IF(OR(NOT(I47),(COLUMN()-3)-(B49+7)&lt;0,(B49+7+B50) - (COLUMN()-2) &lt;0),"",I47*(1-B48)/(B50+1)*B47)</f>
        <v/>
      </c>
      <c r="L57" s="50" t="str">
        <f>IF(OR(NOT(I47),(COLUMN()-3)-(B49+7)&lt;0,(B49+7+B50) - (COLUMN()-2) &lt;0),"",I47*(1-B48)/(B50+1)*B47)</f>
        <v/>
      </c>
      <c r="M57" s="50" t="str">
        <f>IF(OR(NOT(I47),(COLUMN()-3)-(B49+7)&lt;0,(B49+7+B50) - (COLUMN()-2) &lt;0),"",I47*(1-B48)/(B50+1)*B47)</f>
        <v/>
      </c>
      <c r="N57" s="50" t="str">
        <f>IF(OR(NOT(I47),(COLUMN()-3)-(B49+7)&lt;0,(B49+7+B50) - (COLUMN()-2) &lt;0),"",I47*(1-B48)/(B50+1)*B47)</f>
        <v/>
      </c>
      <c r="O57" s="55" t="str">
        <f>IF(OR(NOT(I47),(COLUMN()-3)-(B49+7)&lt;0,(B49+7+B50) - (COLUMN()-2) &lt;0),"",I47*(1-B48)/(B50+1)*B47)</f>
        <v/>
      </c>
      <c r="P57" s="55" t="str">
        <f>IF(OR(NOT(I47),(COLUMN()-3)-(B49+7)&lt;0,(B49+7+B50) - (COLUMN()-2) &lt;0),"",I47*(1-B48)/(B50+1)*B47)</f>
        <v/>
      </c>
      <c r="Q57" s="55" t="str">
        <f>IF(OR(NOT(I47),(COLUMN()-3)-(B49+7)&lt;0,(B49+7+B50) - (COLUMN()-2) &lt;0),"",I47*(1-B48)/(B50+1)*B47)</f>
        <v/>
      </c>
      <c r="R57" s="55" t="str">
        <f>IF(OR(NOT(I47),(COLUMN()-3)-(B49+7)&lt;0,(B49+7+B50) - (COLUMN()-2) &lt;0),"",I47*(1-B48)/(B50+1)*B47)</f>
        <v/>
      </c>
      <c r="S57" s="55" t="str">
        <f>IF(OR(NOT(I47),(COLUMN()-3)-(B49+7)&lt;0,(B49+7+B50) - (COLUMN()-2) &lt;0),"",I47*(1-B48)/(B50+1)*B47)</f>
        <v/>
      </c>
      <c r="T57" s="55" t="str">
        <f>IF(OR(NOT(I47),(COLUMN()-3)-(B49+7)&lt;0,(B49+7+B50) - (COLUMN()-2) &lt;0),"",I47*(1-B48)/(B50+1)*B47)</f>
        <v/>
      </c>
      <c r="U57" s="55" t="str">
        <f>IF(OR(NOT(I47),(COLUMN()-3)-(B49+7)&lt;0,(B49+7+B50) - (COLUMN()-2) &lt;0),"",I47*(1-B48)/(B50+1)*B47)</f>
        <v/>
      </c>
      <c r="V57" s="55" t="str">
        <f>IF(OR(NOT(I47),(COLUMN()-3)-(B49+7)&lt;0,(B49+7+B50) - (COLUMN()-2) &lt;0),"",I47*(1-B48)/(B50+1)*B47)</f>
        <v/>
      </c>
      <c r="W57" s="55" t="str">
        <f>IF(OR(NOT(I47),(COLUMN()-3)-(B49+7)&lt;0,(B49+7+B50) - (COLUMN()-2) &lt;0),"",I47*(1-B48)/(B50+1)*B47)</f>
        <v/>
      </c>
      <c r="X57" s="55" t="str">
        <f>IF(OR(NOT(I47),(COLUMN()-3)-(B49+7)&lt;0,(B49+7+B50) - (COLUMN()-2) &lt;0),"",I47*(1-B48)/(B50+1)*B47)</f>
        <v/>
      </c>
      <c r="Y57" s="55" t="str">
        <f>IF(OR(NOT(I47),(COLUMN()-3)-(B49+7)&lt;0,(B49+7+B50) - (COLUMN()-2) &lt;0),"",I47*(1-B48)/(B50+1)*B47)</f>
        <v/>
      </c>
      <c r="Z57" s="55" t="str">
        <f>IF(OR(NOT(I47),(COLUMN()-3)-(B49+7)&lt;0,(B49+7+B50) - (COLUMN()-2) &lt;0),"",I47*(1-B48)/(B50+1)*B47)</f>
        <v/>
      </c>
      <c r="AA57" s="56" t="str">
        <f>IF(OR(NOT(I47),(COLUMN()-3)-(B49+7)&lt;0,(B49+7+B50) - (COLUMN()-2) &lt;0),"",I47*(1-B48)/(B50+1)*B47)</f>
        <v/>
      </c>
      <c r="AB57" s="56" t="str">
        <f>IF(OR(NOT(I47),(COLUMN()-3)-(B49+7)&lt;0,(B49+7+B50) - (COLUMN()-2) &lt;0),"",I47*(1-B48)/(B50+1)*B47)</f>
        <v/>
      </c>
      <c r="AC57" s="56" t="str">
        <f>IF(OR(NOT(I47),(COLUMN()-3)-(B49+7)&lt;0,(B49+7+B50) - (COLUMN()-2) &lt;0),"",I47*(1-B48)/(B50+1)*B47)</f>
        <v/>
      </c>
      <c r="AD57" s="56" t="str">
        <f>IF(OR(NOT(I47),(COLUMN()-3)-(B49+7)&lt;0,(B49+7+B50) - (COLUMN()-2) &lt;0),"",I47*(1-B48)/(B50+1)*B47)</f>
        <v/>
      </c>
      <c r="AE57" s="56" t="str">
        <f>IF(OR(NOT(I47),(COLUMN()-3)-(B49+7)&lt;0,(B49+7+B50) - (COLUMN()-2) &lt;0),"",I47*(1-B48)/(B50+1)*B47)</f>
        <v/>
      </c>
      <c r="AF57" s="91"/>
      <c r="AG57" s="91"/>
      <c r="AH57" s="91"/>
      <c r="AI57" s="91"/>
      <c r="AJ57" s="91"/>
    </row>
    <row r="58" spans="1:38" hidden="1">
      <c r="A58" s="91"/>
      <c r="B58" s="91"/>
      <c r="C58" s="91"/>
      <c r="D58" s="91"/>
      <c r="E58" s="91"/>
      <c r="F58" s="91"/>
      <c r="G58" s="91"/>
      <c r="H58" s="91"/>
      <c r="I58" s="91"/>
      <c r="J58" s="91"/>
      <c r="K58" s="50" t="str">
        <f>IF(OR(NOT(J47),(COLUMN()-3)-(B49+8)&lt;0,(B49+8+B50) - (COLUMN()-2) &lt;0),"",J47*(1-B48)/(B50+1)*B47)</f>
        <v/>
      </c>
      <c r="L58" s="50" t="str">
        <f>IF(OR(NOT(J47),(COLUMN()-3)-(B49+8)&lt;0,(B49+8+B50) - (COLUMN()-2) &lt;0),"",J47*(1-B48)/(B50+1)*B47)</f>
        <v/>
      </c>
      <c r="M58" s="50" t="str">
        <f>IF(OR(NOT(J47),(COLUMN()-3)-(B49+8)&lt;0,(B49+8+B50) - (COLUMN()-2) &lt;0),"",J47*(1-B48)/(B50+1)*B47)</f>
        <v/>
      </c>
      <c r="N58" s="50" t="str">
        <f>IF(OR(NOT(J47),(COLUMN()-3)-(B49+8)&lt;0,(B49+8+B50) - (COLUMN()-2) &lt;0),"",J47*(1-B48)/(B50+1)*B47)</f>
        <v/>
      </c>
      <c r="O58" s="55" t="str">
        <f>IF(OR(NOT(J47),(COLUMN()-3)-(B49+8)&lt;0,(B49+8+B50) - (COLUMN()-2) &lt;0),"",J47*(1-B48)/(B50+1)*B47)</f>
        <v/>
      </c>
      <c r="P58" s="55" t="str">
        <f>IF(OR(NOT(J47),(COLUMN()-3)-(B49+8)&lt;0,(B49+8+B50) - (COLUMN()-2) &lt;0),"",J47*(1-B48)/(B50+1)*B47)</f>
        <v/>
      </c>
      <c r="Q58" s="55" t="str">
        <f>IF(OR(NOT(J47),(COLUMN()-3)-(B49+8)&lt;0,(B49+8+B50) - (COLUMN()-2) &lt;0),"",J47*(1-B48)/(B50+1)*B47)</f>
        <v/>
      </c>
      <c r="R58" s="55" t="str">
        <f>IF(OR(NOT(J47),(COLUMN()-3)-(B49+8)&lt;0,(B49+8+B50) - (COLUMN()-2) &lt;0),"",J47*(1-B48)/(B50+1)*B47)</f>
        <v/>
      </c>
      <c r="S58" s="55" t="str">
        <f>IF(OR(NOT(J47),(COLUMN()-3)-(B49+8)&lt;0,(B49+8+B50) - (COLUMN()-2) &lt;0),"",J47*(1-B48)/(B50+1)*B47)</f>
        <v/>
      </c>
      <c r="T58" s="55" t="str">
        <f>IF(OR(NOT(J47),(COLUMN()-3)-(B49+8)&lt;0,(B49+8+B50) - (COLUMN()-2) &lt;0),"",J47*(1-B48)/(B50+1)*B47)</f>
        <v/>
      </c>
      <c r="U58" s="55" t="str">
        <f>IF(OR(NOT(J47),(COLUMN()-3)-(B49+8)&lt;0,(B49+8+B50) - (COLUMN()-2) &lt;0),"",J47*(1-B48)/(B50+1)*B47)</f>
        <v/>
      </c>
      <c r="V58" s="55" t="str">
        <f>IF(OR(NOT(J47),(COLUMN()-3)-(B49+8)&lt;0,(B49+8+B50) - (COLUMN()-2) &lt;0),"",J47*(1-B48)/(B50+1)*B47)</f>
        <v/>
      </c>
      <c r="W58" s="55" t="str">
        <f>IF(OR(NOT(J47),(COLUMN()-3)-(B49+8)&lt;0,(B49+8+B50) - (COLUMN()-2) &lt;0),"",J47*(1-B48)/(B50+1)*B47)</f>
        <v/>
      </c>
      <c r="X58" s="55" t="str">
        <f>IF(OR(NOT(J47),(COLUMN()-3)-(B49+8)&lt;0,(B49+8+B50) - (COLUMN()-2) &lt;0),"",J47*(1-B48)/(B50+1)*B47)</f>
        <v/>
      </c>
      <c r="Y58" s="55" t="str">
        <f>IF(OR(NOT(J47),(COLUMN()-3)-(B49+8)&lt;0,(B49+8+B50) - (COLUMN()-2) &lt;0),"",J47*(1-B48)/(B50+1)*B47)</f>
        <v/>
      </c>
      <c r="Z58" s="55" t="str">
        <f>IF(OR(NOT(J47),(COLUMN()-3)-(B49+8)&lt;0,(B49+8+B50) - (COLUMN()-2) &lt;0),"",J47*(1-B48)/(B50+1)*B47)</f>
        <v/>
      </c>
      <c r="AA58" s="56" t="str">
        <f>IF(OR(NOT(J47),(COLUMN()-3)-(B49+8)&lt;0,(B49+8+B50) - (COLUMN()-2) &lt;0),"",J47*(1-B48)/(B50+1)*B47)</f>
        <v/>
      </c>
      <c r="AB58" s="56" t="str">
        <f>IF(OR(NOT(J47),(COLUMN()-3)-(B49+8)&lt;0,(B49+8+B50) - (COLUMN()-2) &lt;0),"",J47*(1-B48)/(B50+1)*B47)</f>
        <v/>
      </c>
      <c r="AC58" s="56" t="str">
        <f>IF(OR(NOT(J47),(COLUMN()-3)-(B49+8)&lt;0,(B49+8+B50) - (COLUMN()-2) &lt;0),"",J47*(1-B48)/(B50+1)*B47)</f>
        <v/>
      </c>
      <c r="AD58" s="56" t="str">
        <f>IF(OR(NOT(J47),(COLUMN()-3)-(B49+8)&lt;0,(B49+8+B50) - (COLUMN()-2) &lt;0),"",J47*(1-B48)/(B50+1)*B47)</f>
        <v/>
      </c>
      <c r="AE58" s="56" t="str">
        <f>IF(OR(NOT(J47),(COLUMN()-3)-(B49+8)&lt;0,(B49+8+B50) - (COLUMN()-2) &lt;0),"",J47*(1-B48)/(B50+1)*B47)</f>
        <v/>
      </c>
      <c r="AF58" s="56" t="str">
        <f>IF(OR(NOT(J47),(COLUMN()-3)-(B49+8)&lt;0,(B49+8+B50) - (COLUMN()-2) &lt;0),"",J47*(1-B48)/(B50+1)*B47)</f>
        <v/>
      </c>
      <c r="AG58" s="91"/>
      <c r="AH58" s="91"/>
      <c r="AI58" s="91"/>
      <c r="AJ58" s="91"/>
    </row>
    <row r="59" spans="1:38" hidden="1">
      <c r="A59" s="91"/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50" t="str">
        <f>IF(OR(NOT(K47),(COLUMN()-3)-(B49+9)&lt;0,(B49+9+B50) - (COLUMN()-2) &lt;0),"",K47*(1-B48)/(B50+1)*B47)</f>
        <v/>
      </c>
      <c r="M59" s="50" t="str">
        <f>IF(OR(NOT(K47),(COLUMN()-3)-(B49+9)&lt;0,(B49+9+B50) - (COLUMN()-2) &lt;0),"",K47*(1-B48)/(B50+1)*B47)</f>
        <v/>
      </c>
      <c r="N59" s="50" t="str">
        <f>IF(OR(NOT(K47),(COLUMN()-3)-(B49+9)&lt;0,(B49+9+B50) - (COLUMN()-2) &lt;0),"",K47*(1-B48)/(B50+1)*B47)</f>
        <v/>
      </c>
      <c r="O59" s="55" t="str">
        <f>IF(OR(NOT(K47),(COLUMN()-3)-(B49+9)&lt;0,(B49+9+B50) - (COLUMN()-2) &lt;0),"",K47*(1-B48)/(B50+1)*B47)</f>
        <v/>
      </c>
      <c r="P59" s="55" t="str">
        <f>IF(OR(NOT(K47),(COLUMN()-3)-(B49+9)&lt;0,(B49+9+B50) - (COLUMN()-2) &lt;0),"",K47*(1-B48)/(B50+1)*B47)</f>
        <v/>
      </c>
      <c r="Q59" s="55" t="str">
        <f>IF(OR(NOT(K47),(COLUMN()-3)-(B49+9)&lt;0,(B49+9+B50) - (COLUMN()-2) &lt;0),"",K47*(1-B48)/(B50+1)*B47)</f>
        <v/>
      </c>
      <c r="R59" s="55" t="str">
        <f>IF(OR(NOT(K47),(COLUMN()-3)-(B49+9)&lt;0,(B49+9+B50) - (COLUMN()-2) &lt;0),"",K47*(1-B48)/(B50+1)*B47)</f>
        <v/>
      </c>
      <c r="S59" s="55" t="str">
        <f>IF(OR(NOT(K47),(COLUMN()-3)-(B49+9)&lt;0,(B49+9+B50) - (COLUMN()-2) &lt;0),"",K47*(1-B48)/(B50+1)*B47)</f>
        <v/>
      </c>
      <c r="T59" s="55" t="str">
        <f>IF(OR(NOT(K47),(COLUMN()-3)-(B49+9)&lt;0,(B49+9+B50) - (COLUMN()-2) &lt;0),"",K47*(1-B48)/(B50+1)*B47)</f>
        <v/>
      </c>
      <c r="U59" s="55" t="str">
        <f>IF(OR(NOT(K47),(COLUMN()-3)-(B49+9)&lt;0,(B49+9+B50) - (COLUMN()-2) &lt;0),"",K47*(1-B48)/(B50+1)*B47)</f>
        <v/>
      </c>
      <c r="V59" s="55" t="str">
        <f>IF(OR(NOT(K47),(COLUMN()-3)-(B49+9)&lt;0,(B49+9+B50) - (COLUMN()-2) &lt;0),"",K47*(1-B48)/(B50+1)*B47)</f>
        <v/>
      </c>
      <c r="W59" s="55" t="str">
        <f>IF(OR(NOT(K47),(COLUMN()-3)-(B49+9)&lt;0,(B49+9+B50) - (COLUMN()-2) &lt;0),"",K47*(1-B48)/(B50+1)*B47)</f>
        <v/>
      </c>
      <c r="X59" s="55" t="str">
        <f>IF(OR(NOT(K47),(COLUMN()-3)-(B49+9)&lt;0,(B49+9+B50) - (COLUMN()-2) &lt;0),"",K47*(1-B48)/(B50+1)*B47)</f>
        <v/>
      </c>
      <c r="Y59" s="55" t="str">
        <f>IF(OR(NOT(K47),(COLUMN()-3)-(B49+9)&lt;0,(B49+9+B50) - (COLUMN()-2) &lt;0),"",K47*(1-B48)/(B50+1)*B47)</f>
        <v/>
      </c>
      <c r="Z59" s="55" t="str">
        <f>IF(OR(NOT(K47),(COLUMN()-3)-(B49+9)&lt;0,(B49+9+B50) - (COLUMN()-2) &lt;0),"",K47*(1-B48)/(B50+1)*B47)</f>
        <v/>
      </c>
      <c r="AA59" s="56" t="str">
        <f>IF(OR(NOT(K47),(COLUMN()-3)-(B49+9)&lt;0,(B49+9+B50) - (COLUMN()-2) &lt;0),"",K47*(1-B48)/(B50+1)*B47)</f>
        <v/>
      </c>
      <c r="AB59" s="56" t="str">
        <f>IF(OR(NOT(K47),(COLUMN()-3)-(B49+9)&lt;0,(B49+9+B50) - (COLUMN()-2) &lt;0),"",K47*(1-B48)/(B50+1)*B47)</f>
        <v/>
      </c>
      <c r="AC59" s="56" t="str">
        <f>IF(OR(NOT(K47),(COLUMN()-3)-(B49+9)&lt;0,(B49+9+B50) - (COLUMN()-2) &lt;0),"",K47*(1-B48)/(B50+1)*B47)</f>
        <v/>
      </c>
      <c r="AD59" s="56" t="str">
        <f>IF(OR(NOT(K47),(COLUMN()-3)-(B49+9)&lt;0,(B49+9+B50) - (COLUMN()-2) &lt;0),"",K47*(1-B48)/(B50+1)*B47)</f>
        <v/>
      </c>
      <c r="AE59" s="56" t="str">
        <f>IF(OR(NOT(K47),(COLUMN()-3)-(B49+9)&lt;0,(B49+9+B50) - (COLUMN()-2) &lt;0),"",K47*(1-B48)/(B50+1)*B47)</f>
        <v/>
      </c>
      <c r="AF59" s="56" t="str">
        <f>IF(OR(NOT(K47),(COLUMN()-3)-(B49+9)&lt;0,(B49+9+B50) - (COLUMN()-2) &lt;0),"",K47*(1-B48)/(B50+1)*B47)</f>
        <v/>
      </c>
      <c r="AG59" s="56" t="str">
        <f>IF(OR(NOT(K47),(COLUMN()-3)-(B49+9)&lt;0,(B49+9+B50) - (COLUMN()-2) &lt;0),"",K47*(1-B48)/(B50+1)*B47)</f>
        <v/>
      </c>
      <c r="AH59" s="91"/>
      <c r="AI59" s="91"/>
      <c r="AJ59" s="91"/>
    </row>
    <row r="60" spans="1:38" hidden="1">
      <c r="A60" s="91"/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91"/>
      <c r="M60" s="50" t="str">
        <f>IF(OR(NOT(L47),(COLUMN()-3)-(B49+10)&lt;0,(B49+10+B50) - (COLUMN()-2) &lt;0),"",L47*(1-B48)/(B50+1)*B47)</f>
        <v/>
      </c>
      <c r="N60" s="50" t="str">
        <f>IF(OR(NOT(L47),(COLUMN()-3)-(B49+10)&lt;0,(B49+10+B50) - (COLUMN()-2) &lt;0),"",L47*(1-B48)/(B50+1)*B47)</f>
        <v/>
      </c>
      <c r="O60" s="55" t="str">
        <f>IF(OR(NOT(L47),(COLUMN()-3)-(B49+10)&lt;0,(B49+10+B50) - (COLUMN()-2) &lt;0),"",L47*(1-B48)/(B50+1)*B47)</f>
        <v/>
      </c>
      <c r="P60" s="55" t="str">
        <f>IF(OR(NOT(L47),(COLUMN()-3)-(B49+10)&lt;0,(B49+10+B50) - (COLUMN()-2) &lt;0),"",L47*(1-B48)/(B50+1)*B47)</f>
        <v/>
      </c>
      <c r="Q60" s="55" t="str">
        <f>IF(OR(NOT(L47),(COLUMN()-3)-(B49+10)&lt;0,(B49+10+B50) - (COLUMN()-2) &lt;0),"",L47*(1-B48)/(B50+1)*B47)</f>
        <v/>
      </c>
      <c r="R60" s="55" t="str">
        <f>IF(OR(NOT(L47),(COLUMN()-3)-(B49+10)&lt;0,(B49+10+B50) - (COLUMN()-2) &lt;0),"",L47*(1-B48)/(B50+1)*B47)</f>
        <v/>
      </c>
      <c r="S60" s="55" t="str">
        <f>IF(OR(NOT(L47),(COLUMN()-3)-(B49+10)&lt;0,(B49+10+B50) - (COLUMN()-2) &lt;0),"",L47*(1-B48)/(B50+1)*B47)</f>
        <v/>
      </c>
      <c r="T60" s="55" t="str">
        <f>IF(OR(NOT(L47),(COLUMN()-3)-(B49+10)&lt;0,(B49+10+B50) - (COLUMN()-2) &lt;0),"",L47*(1-B48)/(B50+1)*B47)</f>
        <v/>
      </c>
      <c r="U60" s="55" t="str">
        <f>IF(OR(NOT(L47),(COLUMN()-3)-(B49+10)&lt;0,(B49+10+B50) - (COLUMN()-2) &lt;0),"",L47*(1-B48)/(B50+1)*B47)</f>
        <v/>
      </c>
      <c r="V60" s="55" t="str">
        <f>IF(OR(NOT(L47),(COLUMN()-3)-(B49+10)&lt;0,(B49+10+B50) - (COLUMN()-2) &lt;0),"",L47*(1-B48)/(B50+1)*B47)</f>
        <v/>
      </c>
      <c r="W60" s="55" t="str">
        <f>IF(OR(NOT(L47),(COLUMN()-3)-(B49+10)&lt;0,(B49+10+B50) - (COLUMN()-2) &lt;0),"",L47*(1-B48)/(B50+1)*B47)</f>
        <v/>
      </c>
      <c r="X60" s="55" t="str">
        <f>IF(OR(NOT(L47),(COLUMN()-3)-(B49+10)&lt;0,(B49+10+B50) - (COLUMN()-2) &lt;0),"",L47*(1-B48)/(B50+1)*B47)</f>
        <v/>
      </c>
      <c r="Y60" s="55" t="str">
        <f>IF(OR(NOT(L47),(COLUMN()-3)-(B49+10)&lt;0,(B49+10+B50) - (COLUMN()-2) &lt;0),"",L47*(1-B48)/(B50+1)*B47)</f>
        <v/>
      </c>
      <c r="Z60" s="55" t="str">
        <f>IF(OR(NOT(L47),(COLUMN()-3)-(B49+10)&lt;0,(B49+10+B50) - (COLUMN()-2) &lt;0),"",L47*(1-B48)/(B50+1)*B47)</f>
        <v/>
      </c>
      <c r="AA60" s="56" t="str">
        <f>IF(OR(NOT(L47),(COLUMN()-3)-(B49+10)&lt;0,(B49+10+B50) - (COLUMN()-2) &lt;0),"",L47*(1-B48)/(B50+1)*B47)</f>
        <v/>
      </c>
      <c r="AB60" s="56" t="str">
        <f>IF(OR(NOT(L47),(COLUMN()-3)-(B49+10)&lt;0,(B49+10+B50) - (COLUMN()-2) &lt;0),"",L47*(1-B48)/(B50+1)*B47)</f>
        <v/>
      </c>
      <c r="AC60" s="56" t="str">
        <f>IF(OR(NOT(L47),(COLUMN()-3)-(B49+10)&lt;0,(B49+10+B50) - (COLUMN()-2) &lt;0),"",L47*(1-B48)/(B50+1)*B47)</f>
        <v/>
      </c>
      <c r="AD60" s="56" t="str">
        <f>IF(OR(NOT(L47),(COLUMN()-3)-(B49+10)&lt;0,(B49+10+B50) - (COLUMN()-2) &lt;0),"",L47*(1-B48)/(B50+1)*B47)</f>
        <v/>
      </c>
      <c r="AE60" s="56" t="str">
        <f>IF(OR(NOT(L47),(COLUMN()-3)-(B49+10)&lt;0,(B49+10+B50) - (COLUMN()-2) &lt;0),"",L47*(1-B48)/(B50+1)*B47)</f>
        <v/>
      </c>
      <c r="AF60" s="56" t="str">
        <f>IF(OR(NOT(L47),(COLUMN()-3)-(B49+10)&lt;0,(B49+10+B50) - (COLUMN()-2) &lt;0),"",L47*(1-B48)/(B50+1)*B47)</f>
        <v/>
      </c>
      <c r="AG60" s="56" t="str">
        <f>IF(OR(NOT(L47),(COLUMN()-3)-(B49+10)&lt;0,(B49+10+B50) - (COLUMN()-2) &lt;0),"",L47*(1-B48)/(B50+1)*B47)</f>
        <v/>
      </c>
      <c r="AH60" s="56" t="str">
        <f>IF(OR(NOT(L47),(COLUMN()-3)-(B49+10)&lt;0,(B49+10+B50) - (COLUMN()-2) &lt;0),"",L47*(1-B48)/(B50+1)*B47)</f>
        <v/>
      </c>
      <c r="AI60" s="91"/>
      <c r="AJ60" s="91"/>
    </row>
    <row r="61" spans="1:38" hidden="1">
      <c r="A61" s="91"/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50" t="str">
        <f>IF(OR(NOT(M47),(COLUMN()-3)-(B49+11)&lt;0,(B49+11+B50) - (COLUMN()-2) &lt;0),"",M47*(1-B48)/(B50+1)*B47)</f>
        <v/>
      </c>
      <c r="O61" s="55" t="str">
        <f>IF(OR(NOT(M47),(COLUMN()-3)-(B49+11)&lt;0,(B49+11+B50) - (COLUMN()-2) &lt;0),"",M47*(1-B48)/(B50+1)*B47)</f>
        <v/>
      </c>
      <c r="P61" s="55" t="str">
        <f>IF(OR(NOT(M47),(COLUMN()-3)-(B49+11)&lt;0,(B49+11+B50) - (COLUMN()-2) &lt;0),"",M47*(1-B48)/(B50+1)*B47)</f>
        <v/>
      </c>
      <c r="Q61" s="55" t="str">
        <f>IF(OR(NOT(M47),(COLUMN()-3)-(B49+11)&lt;0,(B49+11+B50) - (COLUMN()-2) &lt;0),"",M47*(1-B48)/(B50+1)*B47)</f>
        <v/>
      </c>
      <c r="R61" s="55" t="str">
        <f>IF(OR(NOT(M47),(COLUMN()-3)-(B49+11)&lt;0,(B49+11+B50) - (COLUMN()-2) &lt;0),"",M47*(1-B48)/(B50+1)*B47)</f>
        <v/>
      </c>
      <c r="S61" s="55" t="str">
        <f>IF(OR(NOT(M47),(COLUMN()-3)-(B49+11)&lt;0,(B49+11+B50) - (COLUMN()-2) &lt;0),"",M47*(1-B48)/(B50+1)*B47)</f>
        <v/>
      </c>
      <c r="T61" s="55" t="str">
        <f>IF(OR(NOT(M47),(COLUMN()-3)-(B49+11)&lt;0,(B49+11+B50) - (COLUMN()-2) &lt;0),"",M47*(1-B48)/(B50+1)*B47)</f>
        <v/>
      </c>
      <c r="U61" s="55" t="str">
        <f>IF(OR(NOT(M47),(COLUMN()-3)-(B49+11)&lt;0,(B49+11+B50) - (COLUMN()-2) &lt;0),"",M47*(1-B48)/(B50+1)*B47)</f>
        <v/>
      </c>
      <c r="V61" s="55" t="str">
        <f>IF(OR(NOT(M47),(COLUMN()-3)-(B49+11)&lt;0,(B49+11+B50) - (COLUMN()-2) &lt;0),"",M47*(1-B48)/(B50+1)*B47)</f>
        <v/>
      </c>
      <c r="W61" s="55" t="str">
        <f>IF(OR(NOT(M47),(COLUMN()-3)-(B49+11)&lt;0,(B49+11+B50) - (COLUMN()-2) &lt;0),"",M47*(1-B48)/(B50+1)*B47)</f>
        <v/>
      </c>
      <c r="X61" s="55" t="str">
        <f>IF(OR(NOT(M47),(COLUMN()-3)-(B49+11)&lt;0,(B49+11+B50) - (COLUMN()-2) &lt;0),"",M47*(1-B48)/(B50+1)*B47)</f>
        <v/>
      </c>
      <c r="Y61" s="55" t="str">
        <f>IF(OR(NOT(M47),(COLUMN()-3)-(B49+11)&lt;0,(B49+11+B50) - (COLUMN()-2) &lt;0),"",M47*(1-B48)/(B50+1)*B47)</f>
        <v/>
      </c>
      <c r="Z61" s="55" t="str">
        <f>IF(OR(NOT(M47),(COLUMN()-3)-(B49+11)&lt;0,(B49+11+B50) - (COLUMN()-2) &lt;0),"",M47*(1-B48)/(B50+1)*B47)</f>
        <v/>
      </c>
      <c r="AA61" s="56" t="str">
        <f>IF(OR(NOT(M47),(COLUMN()-3)-(B49+11)&lt;0,(B49+11+B50) - (COLUMN()-2) &lt;0),"",M47*(1-B48)/(B50+1)*B47)</f>
        <v/>
      </c>
      <c r="AB61" s="56" t="str">
        <f>IF(OR(NOT(M47),(COLUMN()-3)-(B49+11)&lt;0,(B49+11+B50) - (COLUMN()-2) &lt;0),"",M47*(1-B48)/(B50+1)*B47)</f>
        <v/>
      </c>
      <c r="AC61" s="56" t="str">
        <f>IF(OR(NOT(M47),(COLUMN()-3)-(B49+11)&lt;0,(B49+11+B50) - (COLUMN()-2) &lt;0),"",M47*(1-B48)/(B50+1)*B47)</f>
        <v/>
      </c>
      <c r="AD61" s="56" t="str">
        <f>IF(OR(NOT(M47),(COLUMN()-3)-(B49+11)&lt;0,(B49+11+B50) - (COLUMN()-2) &lt;0),"",M47*(1-B48)/(B50+1)*B47)</f>
        <v/>
      </c>
      <c r="AE61" s="56" t="str">
        <f>IF(OR(NOT(M47),(COLUMN()-3)-(B49+11)&lt;0,(B49+11+B50) - (COLUMN()-2) &lt;0),"",M47*(1-B48)/(B50+1)*B47)</f>
        <v/>
      </c>
      <c r="AF61" s="56" t="str">
        <f>IF(OR(NOT(M47),(COLUMN()-3)-(B49+11)&lt;0,(B49+11+B50) - (COLUMN()-2) &lt;0),"",M47*(1-B48)/(B50+1)*B47)</f>
        <v/>
      </c>
      <c r="AG61" s="56" t="str">
        <f>IF(OR(NOT(M47),(COLUMN()-3)-(B49+11)&lt;0,(B49+11+B50) - (COLUMN()-2) &lt;0),"",M47*(1-B48)/(B50+1)*B47)</f>
        <v/>
      </c>
      <c r="AH61" s="56" t="str">
        <f>IF(OR(NOT(M47),(COLUMN()-3)-(B49+11)&lt;0,(B49+11+B50) - (COLUMN()-2) &lt;0),"",M47*(1-B48)/(B50+1)*B47)</f>
        <v/>
      </c>
      <c r="AI61" s="56" t="str">
        <f>IF(OR(NOT(M47),(COLUMN()-3)-(B49+11)&lt;0,(B49+11+B50) - (COLUMN()-2) &lt;0),"",M47*(1-B48)/(B50+1)*B47)</f>
        <v/>
      </c>
      <c r="AJ61" s="91"/>
    </row>
    <row r="62" spans="1:38" hidden="1">
      <c r="A62" s="91"/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55" t="str">
        <f>IF(OR(NOT(N47),(COLUMN()-3)-(B49+12)&lt;0,(B49+12+B50) - (COLUMN()-2) &lt;0),"",N47*(1-B48)/(B50+1)*B47)</f>
        <v/>
      </c>
      <c r="P62" s="55" t="str">
        <f>IF(OR(NOT(N47),(COLUMN()-3)-(B49+12)&lt;0,(B49+12+B50) - (COLUMN()-2) &lt;0),"",N47*(1-B48)/(B50+1)*B47)</f>
        <v/>
      </c>
      <c r="Q62" s="55" t="str">
        <f>IF(OR(NOT(N47),(COLUMN()-3)-(B49+12)&lt;0,(B49+12+B50) - (COLUMN()-2) &lt;0),"",N47*(1-B48)/(B50+1)*B47)</f>
        <v/>
      </c>
      <c r="R62" s="55" t="str">
        <f>IF(OR(NOT(N47),(COLUMN()-3)-(B49+12)&lt;0,(B49+12+B50) - (COLUMN()-2) &lt;0),"",N47*(1-B48)/(B50+1)*B47)</f>
        <v/>
      </c>
      <c r="S62" s="55" t="str">
        <f>IF(OR(NOT(N47),(COLUMN()-3)-(B49+12)&lt;0,(B49+12+B50) - (COLUMN()-2) &lt;0),"",N47*(1-B48)/(B50+1)*B47)</f>
        <v/>
      </c>
      <c r="T62" s="55" t="str">
        <f>IF(OR(NOT(N47),(COLUMN()-3)-(B49+12)&lt;0,(B49+12+B50) - (COLUMN()-2) &lt;0),"",N47*(1-B48)/(B50+1)*B47)</f>
        <v/>
      </c>
      <c r="U62" s="55" t="str">
        <f>IF(OR(NOT(N47),(COLUMN()-3)-(B49+12)&lt;0,(B49+12+B50) - (COLUMN()-2) &lt;0),"",N47*(1-B48)/(B50+1)*B47)</f>
        <v/>
      </c>
      <c r="V62" s="55" t="str">
        <f>IF(OR(NOT(N47),(COLUMN()-3)-(B49+12)&lt;0,(B49+12+B50) - (COLUMN()-2) &lt;0),"",N47*(1-B48)/(B50+1)*B47)</f>
        <v/>
      </c>
      <c r="W62" s="55" t="str">
        <f>IF(OR(NOT(N47),(COLUMN()-3)-(B49+12)&lt;0,(B49+12+B50) - (COLUMN()-2) &lt;0),"",N47*(1-B48)/(B50+1)*B47)</f>
        <v/>
      </c>
      <c r="X62" s="55" t="str">
        <f>IF(OR(NOT(N47),(COLUMN()-3)-(B49+12)&lt;0,(B49+12+B50) - (COLUMN()-2) &lt;0),"",N47*(1-B48)/(B50+1)*B47)</f>
        <v/>
      </c>
      <c r="Y62" s="55" t="str">
        <f>IF(OR(NOT(N47),(COLUMN()-3)-(B49+12)&lt;0,(B49+12+B50) - (COLUMN()-2) &lt;0),"",N47*(1-B48)/(B50+1)*B47)</f>
        <v/>
      </c>
      <c r="Z62" s="55" t="str">
        <f>IF(OR(NOT(N47),(COLUMN()-3)-(B49+12)&lt;0,(B49+12+B50) - (COLUMN()-2) &lt;0),"",N47*(1-B48)/(B50+1)*B47)</f>
        <v/>
      </c>
      <c r="AA62" s="56" t="str">
        <f>IF(OR(NOT(N47),(COLUMN()-3)-(B49+12)&lt;0,(B49+12+B50) - (COLUMN()-2) &lt;0),"",N47*(1-B48)/(B50+1)*B47)</f>
        <v/>
      </c>
      <c r="AB62" s="56" t="str">
        <f>IF(OR(NOT(N47),(COLUMN()-3)-(B49+12)&lt;0,(B49+12+B50) - (COLUMN()-2) &lt;0),"",N47*(1-B48)/(B50+1)*B47)</f>
        <v/>
      </c>
      <c r="AC62" s="56" t="str">
        <f>IF(OR(NOT(N47),(COLUMN()-3)-(B49+12)&lt;0,(B49+12+B50) - (COLUMN()-2) &lt;0),"",N47*(1-B48)/(B50+1)*B47)</f>
        <v/>
      </c>
      <c r="AD62" s="56" t="str">
        <f>IF(OR(NOT(N47),(COLUMN()-3)-(B49+12)&lt;0,(B49+12+B50) - (COLUMN()-2) &lt;0),"",N47*(1-B48)/(B50+1)*B47)</f>
        <v/>
      </c>
      <c r="AE62" s="56" t="str">
        <f>IF(OR(NOT(N47),(COLUMN()-3)-(B49+12)&lt;0,(B49+12+B50) - (COLUMN()-2) &lt;0),"",N47*(1-B48)/(B50+1)*B47)</f>
        <v/>
      </c>
      <c r="AF62" s="56" t="str">
        <f>IF(OR(NOT(N47),(COLUMN()-3)-(B49+12)&lt;0,(B49+12+B50) - (COLUMN()-2) &lt;0),"",N47*(1-B48)/(B50+1)*B47)</f>
        <v/>
      </c>
      <c r="AG62" s="56" t="str">
        <f>IF(OR(NOT(N47),(COLUMN()-3)-(B49+12)&lt;0,(B49+12+B50) - (COLUMN()-2) &lt;0),"",N47*(1-B48)/(B50+1)*B47)</f>
        <v/>
      </c>
      <c r="AH62" s="56" t="str">
        <f>IF(OR(NOT(N47),(COLUMN()-3)-(B49+12)&lt;0,(B49+12+B50) - (COLUMN()-2) &lt;0),"",N47*(1-B48)/(B50+1)*B47)</f>
        <v/>
      </c>
      <c r="AI62" s="56" t="str">
        <f>IF(OR(NOT(N47),(COLUMN()-3)-(B49+12)&lt;0,(B49+12+B50) - (COLUMN()-2) &lt;0),"",N47*(1-B48)/(B50+1)*B47)</f>
        <v/>
      </c>
      <c r="AJ62" s="56" t="str">
        <f>IF(OR(NOT(N47),(COLUMN()-3)-(B49+12)&lt;0,(B49+12+B50) - (COLUMN()-2) &lt;0),"",N47*(1-B48)/(B50+1)*B47)</f>
        <v/>
      </c>
    </row>
    <row r="63" spans="1:38">
      <c r="A63" s="90" t="s">
        <v>85</v>
      </c>
      <c r="B63" s="52"/>
      <c r="C63" s="92" t="str">
        <f>IF(-SUM(C48:C49)*B63,-SUM(C48:C49)*B63,"")</f>
        <v/>
      </c>
      <c r="D63" s="92" t="str">
        <f>IF(-SUM(D48:D50)*B63,-SUM(D48:D50)*B63,"")</f>
        <v/>
      </c>
      <c r="E63" s="92" t="str">
        <f>IF(-SUM(E48:E50)*B63,-SUM(E48:E50)*B63,"")</f>
        <v/>
      </c>
      <c r="F63" s="92" t="str">
        <f>IF(-SUM(F48:F50)*B63,-SUM(F48:F50)*B63,"")</f>
        <v/>
      </c>
      <c r="G63" s="92" t="str">
        <f>IF(-SUM(G48:G50)*B63,-SUM(G48:G50)*B63,"")</f>
        <v/>
      </c>
      <c r="H63" s="92" t="str">
        <f>IF(-SUM(H48:H50)*B63,-SUM(H48:H50)*B63,"")</f>
        <v/>
      </c>
      <c r="I63" s="92" t="str">
        <f>IF(-SUM(I48:I50)*B63,-SUM(I48:I50)*B63,"")</f>
        <v/>
      </c>
      <c r="J63" s="92" t="str">
        <f>IF(-SUM(J48:J50)*B63,-SUM(J48:J50)*B63,"")</f>
        <v/>
      </c>
      <c r="K63" s="92" t="str">
        <f>IF(-SUM(K48:K50)*B63,-SUM(K48:K50)*B63,"")</f>
        <v/>
      </c>
      <c r="L63" s="92" t="str">
        <f>IF(-SUM(L48:L50)*B63,-SUM(L48:L50)*B63,"")</f>
        <v/>
      </c>
      <c r="M63" s="92" t="str">
        <f>IF(-SUM(M48:M50)*B63,-SUM(M48:M50)*B63,"")</f>
        <v/>
      </c>
      <c r="N63" s="92" t="str">
        <f>IF(-SUM(N48:N50)*B63,-SUM(N48:N50)*B63,"")</f>
        <v/>
      </c>
      <c r="O63" s="92" t="str">
        <f>IF(-SUM(O49:O50)*B63,-SUM(O49:O50)*B63,"")</f>
        <v/>
      </c>
      <c r="P63" s="92" t="str">
        <f>IF(-SUM(P49:P50)*B63,-SUM(P49:P50)*B63,"")</f>
        <v/>
      </c>
      <c r="Q63" s="92" t="str">
        <f>IF(-SUM(Q49:Q50)*B63,-SUM(Q49:Q50)*B63,"")</f>
        <v/>
      </c>
      <c r="R63" s="92" t="str">
        <f>IF(-SUM(R49:R50)*B63,-SUM(R49:R50)*B63,"")</f>
        <v/>
      </c>
      <c r="S63" s="92" t="str">
        <f>IF(-SUM(S49:S50)*B63,-SUM(S49:S50)*B63,"")</f>
        <v/>
      </c>
      <c r="T63" s="92" t="str">
        <f>IF(-SUM(T49:T50)*B63,-SUM(T49:T50)*B63,"")</f>
        <v/>
      </c>
      <c r="U63" s="92" t="str">
        <f>IF(-SUM(U49:U50)*B63,-SUM(U49:U50)*B63,"")</f>
        <v/>
      </c>
      <c r="V63" s="92" t="str">
        <f>IF(-SUM(V49:V50)*B63,-SUM(V49:V50)*B63,"")</f>
        <v/>
      </c>
      <c r="W63" s="92" t="str">
        <f>IF(-SUM(W49:W50)*B63,-SUM(W49:W50)*B63,"")</f>
        <v/>
      </c>
      <c r="X63" s="92" t="str">
        <f>IF(-SUM(X49:X50)*B63,-SUM(X49:X50)*B63,"")</f>
        <v/>
      </c>
      <c r="Y63" s="92" t="str">
        <f>IF(-SUM(Y49:Y50)*B63,-SUM(Y49:Y50)*B63,"")</f>
        <v/>
      </c>
      <c r="Z63" s="92" t="str">
        <f>IF(-SUM(Z50)*B63,-Z50*B63,"")</f>
        <v/>
      </c>
      <c r="AA63" s="92" t="str">
        <f>IF(-SUM(AA50),-AA50*B63,"")</f>
        <v/>
      </c>
      <c r="AB63" s="92" t="str">
        <f>IF(-SUM(AB50)*B63,-AB50*B63,"")</f>
        <v/>
      </c>
      <c r="AC63" s="92" t="str">
        <f>IF(-SUM(AC50)*B63,-AC50*B63,"")</f>
        <v/>
      </c>
      <c r="AD63" s="92" t="str">
        <f>IF(-SUM(AD50)*B63,-AD50*B63,"")</f>
        <v/>
      </c>
      <c r="AE63" s="92" t="str">
        <f>IF(-SUM(AE50)*B63,-AE50*B63,"")</f>
        <v/>
      </c>
      <c r="AF63" s="92" t="str">
        <f>IF(-SUM(AF50)*B63,-AF50*B63,"")</f>
        <v/>
      </c>
      <c r="AG63" s="92" t="str">
        <f>IF(-SUM(AG50)*B63,-AG50*B63,"")</f>
        <v/>
      </c>
      <c r="AH63" s="92" t="str">
        <f>IF(-SUM(AH50)*B63,-AH50*B63,"")</f>
        <v/>
      </c>
      <c r="AI63" s="92" t="str">
        <f>IF(-SUM(AI50)*B63,-AI50*B63,"")</f>
        <v/>
      </c>
      <c r="AJ63" s="92" t="str">
        <f>IF(-SUM(AJ50)*B63,-AJ50*B63,"")</f>
        <v/>
      </c>
    </row>
    <row r="64" spans="1:38" ht="15" thickBot="1">
      <c r="A64" s="90" t="s">
        <v>86</v>
      </c>
      <c r="B64" s="4"/>
      <c r="C64" s="92" t="str">
        <f>IF(-B64*C47,-B64*C47,"")</f>
        <v/>
      </c>
      <c r="D64" s="92" t="str">
        <f>IF(-B64*D47,-B64*D47,"")</f>
        <v/>
      </c>
      <c r="E64" s="92" t="str">
        <f>IF(-B64*E47,-B64*E47,"")</f>
        <v/>
      </c>
      <c r="F64" s="92" t="str">
        <f>IF(-B64*F47,-B64*F47,"")</f>
        <v/>
      </c>
      <c r="G64" s="92" t="str">
        <f>IF(-B64*G47,-B64*G47,"")</f>
        <v/>
      </c>
      <c r="H64" s="92" t="str">
        <f>IF(-B64*H47,-B64*H47,"")</f>
        <v/>
      </c>
      <c r="I64" s="92" t="str">
        <f>IF(-B64*I47,-B64*I47,"")</f>
        <v/>
      </c>
      <c r="J64" s="92" t="str">
        <f>IF(-B64*J47,-B64*J47,"")</f>
        <v/>
      </c>
      <c r="K64" s="92" t="str">
        <f>IF(-B64*K47,-B64*K47,"")</f>
        <v/>
      </c>
      <c r="L64" s="92" t="str">
        <f>IF(-B64*L47,-B64*L47,"")</f>
        <v/>
      </c>
      <c r="M64" s="92" t="str">
        <f>IF(-B64*M47,-B64*M47,"")</f>
        <v/>
      </c>
      <c r="N64" s="92" t="str">
        <f>IF(-B64*N47,-B64*N47,"")</f>
        <v/>
      </c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</row>
    <row r="65" spans="1:38" ht="18.600000000000001" thickBot="1">
      <c r="B65" s="96" t="s">
        <v>87</v>
      </c>
      <c r="C65" s="93">
        <f>SUM(C48:C49)+SUM(C63:C64)</f>
        <v>0</v>
      </c>
      <c r="D65" s="93">
        <f>SUM(D48:D50)+SUM(D63:D64)</f>
        <v>0</v>
      </c>
      <c r="E65" s="93">
        <f t="shared" ref="E65" si="17">SUM(E48:E50)+SUM(E63:E64)</f>
        <v>0</v>
      </c>
      <c r="F65" s="93">
        <f t="shared" ref="F65" si="18">SUM(F48:F50)+SUM(F63:F64)</f>
        <v>0</v>
      </c>
      <c r="G65" s="93">
        <f t="shared" ref="G65" si="19">SUM(G48:G50)+SUM(G63:G64)</f>
        <v>0</v>
      </c>
      <c r="H65" s="93">
        <f t="shared" ref="H65" si="20">SUM(H48:H50)+SUM(H63:H64)</f>
        <v>0</v>
      </c>
      <c r="I65" s="93">
        <f t="shared" ref="I65" si="21">SUM(I48:I50)+SUM(I63:I64)</f>
        <v>0</v>
      </c>
      <c r="J65" s="93">
        <f t="shared" ref="J65" si="22">SUM(J48:J50)+SUM(J63:J64)</f>
        <v>0</v>
      </c>
      <c r="K65" s="93">
        <f t="shared" ref="K65" si="23">SUM(K48:K50)+SUM(K63:K64)</f>
        <v>0</v>
      </c>
      <c r="L65" s="93">
        <f t="shared" ref="L65" si="24">SUM(L48:L50)+SUM(L63:L64)</f>
        <v>0</v>
      </c>
      <c r="M65" s="93">
        <f t="shared" ref="M65" si="25">SUM(M48:M50)+SUM(M63:M64)</f>
        <v>0</v>
      </c>
      <c r="N65" s="93">
        <f t="shared" ref="N65" si="26">SUM(N48:N50)+SUM(N63:N64)</f>
        <v>0</v>
      </c>
      <c r="O65" s="140">
        <f>SUM(O49:O50)+SUM(O63)</f>
        <v>0</v>
      </c>
      <c r="P65" s="140">
        <f t="shared" ref="P65:Y65" si="27">SUM(P49:P50)+SUM(P63)</f>
        <v>0</v>
      </c>
      <c r="Q65" s="140">
        <f t="shared" si="27"/>
        <v>0</v>
      </c>
      <c r="R65" s="140">
        <f t="shared" si="27"/>
        <v>0</v>
      </c>
      <c r="S65" s="140">
        <f t="shared" si="27"/>
        <v>0</v>
      </c>
      <c r="T65" s="140">
        <f t="shared" si="27"/>
        <v>0</v>
      </c>
      <c r="U65" s="140">
        <f t="shared" si="27"/>
        <v>0</v>
      </c>
      <c r="V65" s="140">
        <f t="shared" si="27"/>
        <v>0</v>
      </c>
      <c r="W65" s="140">
        <f t="shared" si="27"/>
        <v>0</v>
      </c>
      <c r="X65" s="140">
        <f t="shared" si="27"/>
        <v>0</v>
      </c>
      <c r="Y65" s="140">
        <f t="shared" si="27"/>
        <v>0</v>
      </c>
      <c r="Z65" s="140">
        <f>SUM(Z50)+SUM(Z63)</f>
        <v>0</v>
      </c>
      <c r="AA65" s="140">
        <f t="shared" ref="AA65:AJ65" si="28">SUM(AA50)+SUM(AA63)</f>
        <v>0</v>
      </c>
      <c r="AB65" s="140">
        <f t="shared" si="28"/>
        <v>0</v>
      </c>
      <c r="AC65" s="140">
        <f t="shared" si="28"/>
        <v>0</v>
      </c>
      <c r="AD65" s="140">
        <f t="shared" si="28"/>
        <v>0</v>
      </c>
      <c r="AE65" s="140">
        <f t="shared" si="28"/>
        <v>0</v>
      </c>
      <c r="AF65" s="140">
        <f t="shared" si="28"/>
        <v>0</v>
      </c>
      <c r="AG65" s="140">
        <f t="shared" si="28"/>
        <v>0</v>
      </c>
      <c r="AH65" s="140">
        <f t="shared" si="28"/>
        <v>0</v>
      </c>
      <c r="AI65" s="140">
        <f t="shared" si="28"/>
        <v>0</v>
      </c>
      <c r="AJ65" s="140">
        <f t="shared" si="28"/>
        <v>0</v>
      </c>
    </row>
    <row r="66" spans="1:38" ht="18">
      <c r="B66" s="78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8">
      <c r="A67" s="86" t="str">
        <f>IF('Reverse Engineering Valuation'!A44= "","    ---    ",'Reverse Engineering Valuation'!A44)</f>
        <v xml:space="preserve">    ---    </v>
      </c>
      <c r="B67" s="87" t="str">
        <f>IF(ROUND(B73,1)&gt;0,CONCATENATE("Under by ",ROUND(B73,1)), IF(ROUND(B73,1)&lt;0, CONCATENATE("OVER BY ",ROUND(B73,1)), "You Matched"))</f>
        <v>You Matched</v>
      </c>
      <c r="C67" s="85">
        <f t="shared" ref="C67:N67" si="29">C127</f>
        <v>44927</v>
      </c>
      <c r="D67" s="85">
        <f t="shared" si="29"/>
        <v>44958</v>
      </c>
      <c r="E67" s="85">
        <f t="shared" si="29"/>
        <v>44986</v>
      </c>
      <c r="F67" s="85">
        <f t="shared" si="29"/>
        <v>45017</v>
      </c>
      <c r="G67" s="85">
        <f t="shared" si="29"/>
        <v>45047</v>
      </c>
      <c r="H67" s="85">
        <f t="shared" si="29"/>
        <v>45078</v>
      </c>
      <c r="I67" s="85">
        <f t="shared" si="29"/>
        <v>45108</v>
      </c>
      <c r="J67" s="85">
        <f t="shared" si="29"/>
        <v>45139</v>
      </c>
      <c r="K67" s="85">
        <f t="shared" si="29"/>
        <v>45170</v>
      </c>
      <c r="L67" s="85">
        <f t="shared" si="29"/>
        <v>45200</v>
      </c>
      <c r="M67" s="85">
        <f t="shared" si="29"/>
        <v>45231</v>
      </c>
      <c r="N67" s="85">
        <f t="shared" si="29"/>
        <v>45261</v>
      </c>
      <c r="O67" s="139" t="str">
        <f t="shared" ref="O67:AJ67" si="30" xml:space="preserve">  CONCATENATE("Ext +", COLUMN()-14)</f>
        <v>Ext +1</v>
      </c>
      <c r="P67" s="139" t="str">
        <f t="shared" si="30"/>
        <v>Ext +2</v>
      </c>
      <c r="Q67" s="139" t="str">
        <f t="shared" si="30"/>
        <v>Ext +3</v>
      </c>
      <c r="R67" s="139" t="str">
        <f t="shared" si="30"/>
        <v>Ext +4</v>
      </c>
      <c r="S67" s="139" t="str">
        <f t="shared" si="30"/>
        <v>Ext +5</v>
      </c>
      <c r="T67" s="139" t="str">
        <f t="shared" si="30"/>
        <v>Ext +6</v>
      </c>
      <c r="U67" s="139" t="str">
        <f t="shared" si="30"/>
        <v>Ext +7</v>
      </c>
      <c r="V67" s="139" t="str">
        <f t="shared" si="30"/>
        <v>Ext +8</v>
      </c>
      <c r="W67" s="139" t="str">
        <f t="shared" si="30"/>
        <v>Ext +9</v>
      </c>
      <c r="X67" s="139" t="str">
        <f t="shared" si="30"/>
        <v>Ext +10</v>
      </c>
      <c r="Y67" s="139" t="str">
        <f t="shared" si="30"/>
        <v>Ext +11</v>
      </c>
      <c r="Z67" s="139" t="str">
        <f t="shared" si="30"/>
        <v>Ext +12</v>
      </c>
      <c r="AA67" s="121" t="str">
        <f t="shared" si="30"/>
        <v>Ext +13</v>
      </c>
      <c r="AB67" s="121" t="str">
        <f t="shared" si="30"/>
        <v>Ext +14</v>
      </c>
      <c r="AC67" s="121" t="str">
        <f t="shared" si="30"/>
        <v>Ext +15</v>
      </c>
      <c r="AD67" s="121" t="str">
        <f t="shared" si="30"/>
        <v>Ext +16</v>
      </c>
      <c r="AE67" s="121" t="str">
        <f t="shared" si="30"/>
        <v>Ext +17</v>
      </c>
      <c r="AF67" s="121" t="str">
        <f t="shared" si="30"/>
        <v>Ext +18</v>
      </c>
      <c r="AG67" s="121" t="str">
        <f t="shared" si="30"/>
        <v>Ext +19</v>
      </c>
      <c r="AH67" s="121" t="str">
        <f t="shared" si="30"/>
        <v>Ext +20</v>
      </c>
      <c r="AI67" s="121" t="str">
        <f t="shared" si="30"/>
        <v>Ext +21</v>
      </c>
      <c r="AJ67" s="121" t="str">
        <f t="shared" si="30"/>
        <v>Ext +22</v>
      </c>
    </row>
    <row r="68" spans="1:38">
      <c r="A68" s="90" t="str">
        <f>A47</f>
        <v xml:space="preserve">Number of customers @ </v>
      </c>
      <c r="B68" s="50">
        <f>'Reverse Engineering Valuation'!B44</f>
        <v>0</v>
      </c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1"/>
      <c r="AL68" s="1"/>
    </row>
    <row r="69" spans="1:38">
      <c r="A69" s="90" t="s">
        <v>80</v>
      </c>
      <c r="B69" s="52"/>
      <c r="C69" s="50" t="str">
        <f>IF(C68*B69*B68,C68*B69*B68,"")</f>
        <v/>
      </c>
      <c r="D69" s="50" t="str">
        <f>IF(D68*B69*B68,D68*B69*B68,"")</f>
        <v/>
      </c>
      <c r="E69" s="50" t="str">
        <f>IF(E68*B69*B68,E68*B69*B68,"")</f>
        <v/>
      </c>
      <c r="F69" s="50" t="str">
        <f>IF(F68*B69*B68,F68*B69*B68,"")</f>
        <v/>
      </c>
      <c r="G69" s="50" t="str">
        <f>IF(G68*B69*B68,G68*B69*B68,"")</f>
        <v/>
      </c>
      <c r="H69" s="50" t="str">
        <f>IF(H68*B69*B68,H68*B69*B68,"")</f>
        <v/>
      </c>
      <c r="I69" s="50" t="str">
        <f>IF(I68*B69*B68,I68*B69*B68,"")</f>
        <v/>
      </c>
      <c r="J69" s="50" t="str">
        <f>IF(J68*B69*B68,J68*B69*B68,"")</f>
        <v/>
      </c>
      <c r="K69" s="50" t="str">
        <f>IF(K68*B69*B68,K68*B69*B68,"")</f>
        <v/>
      </c>
      <c r="L69" s="50" t="str">
        <f>IF(L68*B69*B68,L68*B69*B68,"")</f>
        <v/>
      </c>
      <c r="M69" s="50" t="str">
        <f>IF(M68*B69*B68,M68*B69*B68,"")</f>
        <v/>
      </c>
      <c r="N69" s="50" t="str">
        <f>IF(N68*B69*B68,N68*B69*B68,"")</f>
        <v/>
      </c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1"/>
    </row>
    <row r="70" spans="1:38">
      <c r="A70" s="90" t="s">
        <v>81</v>
      </c>
      <c r="B70" s="53"/>
      <c r="C70" s="50" t="str">
        <f>IF(IF((COLUMN()-2-B70)&gt;0,INDEX(C68:Z68,1, (COLUMN()-2-B70)),0)&gt;=1,(B68* IF((COLUMN()-2-B70)&gt;0,INDEX(C68:Z68,1, (COLUMN()-2-B70)),0)*(1-B69))/(B71+1),"")</f>
        <v/>
      </c>
      <c r="D70" s="50" t="str">
        <f>IF(IF((COLUMN()-2-B70)&gt;0,INDEX(C68:Z68,1, (COLUMN()-2-B70)),0)&gt;=1,(B68* IF((COLUMN()-2-B70)&gt;0,INDEX(C68:Z68,1, (COLUMN()-2-B70)),0)*(1-B69))/(B71+1),"")</f>
        <v/>
      </c>
      <c r="E70" s="50" t="str">
        <f>IF(IF((COLUMN()-2-B70)&gt;0,INDEX(C68:Z68,1, (COLUMN()-2-B70)),0)&gt;=1,(B68* IF((COLUMN()-2-B70)&gt;0,INDEX(C68:Z68,1, (COLUMN()-2-B70)),0)*(1-B69))/(B71+1),"")</f>
        <v/>
      </c>
      <c r="F70" s="50" t="str">
        <f>IF(IF((COLUMN()-2-B70)&gt;0,INDEX(C68:Z68,1, (COLUMN()-2-B70)),0)&gt;=1,(B68* IF((COLUMN()-2-B70)&gt;0,INDEX(C68:Z68,1, (COLUMN()-2-B70)),0)*(1-B69))/(B71+1),"")</f>
        <v/>
      </c>
      <c r="G70" s="50" t="str">
        <f>IF(IF((COLUMN()-2-B70)&gt;0,INDEX(C68:Z68,1, (COLUMN()-2-B70)),0)&gt;=1,(B68* IF((COLUMN()-2-B70)&gt;0,INDEX(C68:Z68,1, (COLUMN()-2-B70)),0)*(1-B69))/(B71+1),"")</f>
        <v/>
      </c>
      <c r="H70" s="50" t="str">
        <f>IF(IF((COLUMN()-2-B70)&gt;0,INDEX(C68:Z68,1, (COLUMN()-2-B70)),0)&gt;=1,(B68* IF((COLUMN()-2-B70)&gt;0,INDEX(C68:Z68,1, (COLUMN()-2-B70)),0)*(1-B69))/(B71+1),"")</f>
        <v/>
      </c>
      <c r="I70" s="50" t="str">
        <f>IF(IF((COLUMN()-2-B70)&gt;0,INDEX(C68:Z68,1, (COLUMN()-2-B70)),0)&gt;=1,(B68* IF((COLUMN()-2-B70)&gt;0,INDEX(C68:Z68,1, (COLUMN()-2-B70)),0)*(1-B69))/(B71+1),"")</f>
        <v/>
      </c>
      <c r="J70" s="50" t="str">
        <f>IF(IF((COLUMN()-2-B70)&gt;0,INDEX(C68:Z68,1, (COLUMN()-2-B70)),0)&gt;=1,(B68* IF((COLUMN()-2-B70)&gt;0,INDEX(C68:Z68,1, (COLUMN()-2-B70)),0)*(1-B69))/(B71+1),"")</f>
        <v/>
      </c>
      <c r="K70" s="50" t="str">
        <f>IF(IF((COLUMN()-2-B70)&gt;0,INDEX(C68:Z68,1, (COLUMN()-2-B70)),0)&gt;=1,(B68* IF((COLUMN()-2-B70)&gt;0,INDEX(C68:Z68,1, (COLUMN()-2-B70)),0)*(1-B69))/(B71+1),"")</f>
        <v/>
      </c>
      <c r="L70" s="50" t="str">
        <f>IF(IF((COLUMN()-2-B70)&gt;0,INDEX(C68:Z68,1, (COLUMN()-2-B70)),0)&gt;=1,(B68* IF((COLUMN()-2-B70)&gt;0,INDEX(C68:Z68,1, (COLUMN()-2-B70)),0)*(1-B69))/(B71+1),"")</f>
        <v/>
      </c>
      <c r="M70" s="50" t="str">
        <f>IF(IF((COLUMN()-2-B70)&gt;0,INDEX(C68:Z68,1, (COLUMN()-2-B70)),0)&gt;=1,(B68* IF((COLUMN()-2-B70)&gt;0,INDEX(C68:Z68,1, (COLUMN()-2-B70)),0)*(1-B69))/(B71+1),"")</f>
        <v/>
      </c>
      <c r="N70" s="50" t="str">
        <f>IF(IF((COLUMN()-2-B70)&gt;0,INDEX(C68:Z68,1, (COLUMN()-2-B70)),0)&gt;=1,(B68* IF((COLUMN()-2-B70)&gt;0,INDEX(C68:Z68,1, (COLUMN()-2-B70)),0)*(1-B69))/(B71+1),"")</f>
        <v/>
      </c>
      <c r="O70" s="55" t="str">
        <f>IF(IF((COLUMN()-2-B70)&gt;0,INDEX(C68:Z68,1, (COLUMN()-2-B70)),0)&gt;=1,(B68* IF((COLUMN()-2-B70)&gt;0,INDEX(C68:Z68,1, (COLUMN()-2-B70)),0)*(1-B69))/(B71+1),"")</f>
        <v/>
      </c>
      <c r="P70" s="55" t="str">
        <f>IF(IF((COLUMN()-2-B70)&gt;0,INDEX(C68:Z68,1, (COLUMN()-2-B70)),0)&gt;=1,(B68* IF((COLUMN()-2-B70)&gt;0,INDEX(C68:Z68,1, (COLUMN()-2-B70)),0)*(1-B69))/(B71+1),"")</f>
        <v/>
      </c>
      <c r="Q70" s="55" t="str">
        <f>IF(IF((COLUMN()-2-B70)&gt;0,INDEX(C68:Z68,1, (COLUMN()-2-B70)),0)&gt;=1,(B68* IF((COLUMN()-2-B70)&gt;0,INDEX(C68:Z68,1, (COLUMN()-2-B70)),0)*(1-B69))/(B71+1),"")</f>
        <v/>
      </c>
      <c r="R70" s="55" t="str">
        <f>IF(IF((COLUMN()-2-B70)&gt;0,INDEX(C68:Z68,1, (COLUMN()-2-B70)),0)&gt;=1,(B68* IF((COLUMN()-2-B70)&gt;0,INDEX(C68:Z68,1, (COLUMN()-2-B70)),0)*(1-B69))/(B71+1),"")</f>
        <v/>
      </c>
      <c r="S70" s="55" t="str">
        <f>IF(IF((COLUMN()-2-B70)&gt;0,INDEX(C68:Z68,1, (COLUMN()-2-B70)),0)&gt;=1,(B68* IF((COLUMN()-2-B70)&gt;0,INDEX(C68:Z68,1, (COLUMN()-2-B70)),0)*(1-B69))/(B71+1),"")</f>
        <v/>
      </c>
      <c r="T70" s="55" t="str">
        <f>IF(IF((COLUMN()-2-B70)&gt;0,INDEX(C68:Z68,1, (COLUMN()-2-B70)),0)&gt;=1,(B68* IF((COLUMN()-2-B70)&gt;0,INDEX(C68:Z68,1, (COLUMN()-2-B70)),0)*(1-B69))/(B71+1),"")</f>
        <v/>
      </c>
      <c r="U70" s="55" t="str">
        <f>IF(IF((COLUMN()-2-B70)&gt;0,INDEX(C68:Z68,1, (COLUMN()-2-B70)),0)&gt;=1,(B68* IF((COLUMN()-2-B70)&gt;0,INDEX(C68:Z68,1, (COLUMN()-2-B70)),0)*(1-B69))/(B71+1),"")</f>
        <v/>
      </c>
      <c r="V70" s="55" t="str">
        <f>IF(IF((COLUMN()-2-B70)&gt;0,INDEX(C68:Z68,1, (COLUMN()-2-B70)),0)&gt;=1,(B68* IF((COLUMN()-2-B70)&gt;0,INDEX(C68:Z68,1, (COLUMN()-2-B70)),0)*(1-B69))/(B71+1),"")</f>
        <v/>
      </c>
      <c r="W70" s="55" t="str">
        <f>IF(IF((COLUMN()-2-B70)&gt;0,INDEX(C68:Z68,1, (COLUMN()-2-B70)),0)&gt;=1,(B68* IF((COLUMN()-2-B70)&gt;0,INDEX(C68:Z68,1, (COLUMN()-2-B70)),0)*(1-B69))/(B71+1),"")</f>
        <v/>
      </c>
      <c r="X70" s="55" t="str">
        <f>IF(IF((COLUMN()-2-B70)&gt;0,INDEX(C68:Z68,1, (COLUMN()-2-B70)),0)&gt;=1,(B68* IF((COLUMN()-2-B70)&gt;0,INDEX(C68:Z68,1, (COLUMN()-2-B70)),0)*(1-B69))/(B71+1),"")</f>
        <v/>
      </c>
      <c r="Y70" s="55" t="str">
        <f>IF(IF((COLUMN()-2-B70)&gt;0,INDEX(C68:Z68,1, (COLUMN()-2-B70)),0)&gt;=1,(B68* IF((COLUMN()-2-B70)&gt;0,INDEX(C68:Z68,1, (COLUMN()-2-B70)),0)*(1-B69))/(B71+1),"")</f>
        <v/>
      </c>
      <c r="Z70" s="91" t="str">
        <f>IF(IF((COLUMN()-2-B70)&gt;0,INDEX(C68:Z68,1, (COLUMN()-2-B70)),0)&gt;=1,(B68* IF((COLUMN()-2-B70)&gt;0,INDEX(C68:Z68,1, (COLUMN()-2-B70)),0)*(1-B69))/(B71+1),"")</f>
        <v/>
      </c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1"/>
    </row>
    <row r="71" spans="1:38">
      <c r="A71" s="90" t="s">
        <v>82</v>
      </c>
      <c r="B71" s="53"/>
      <c r="C71" s="91"/>
      <c r="D71" s="50" t="str">
        <f>IF(SUM(D72),SUM(D72),"")</f>
        <v/>
      </c>
      <c r="E71" s="50" t="str">
        <f>IF(SUM(E72:E73),SUM(E72:E73),"")</f>
        <v/>
      </c>
      <c r="F71" s="50" t="str">
        <f>IF(SUM(F72:F74),SUM(F72:F74),"")</f>
        <v/>
      </c>
      <c r="G71" s="50" t="str">
        <f>IF(SUM(G72:G75),SUM(G72:G75),"")</f>
        <v/>
      </c>
      <c r="H71" s="50" t="str">
        <f>IF(SUM(H72:H76),SUM(H72:H76),"")</f>
        <v/>
      </c>
      <c r="I71" s="50" t="str">
        <f>IF(SUM(I72:I77),SUM(I72:I77),"")</f>
        <v/>
      </c>
      <c r="J71" s="50" t="str">
        <f>IF(SUM(J72:J78),SUM(J72:J78),"")</f>
        <v/>
      </c>
      <c r="K71" s="50" t="str">
        <f>IF(SUM(K72:K79),SUM(K72:K79),"")</f>
        <v/>
      </c>
      <c r="L71" s="50" t="str">
        <f>IF(SUM(L72:L80),SUM(L72:L80),"")</f>
        <v/>
      </c>
      <c r="M71" s="50" t="str">
        <f>IF(SUM(M72:M81),SUM(M72:M81),"")</f>
        <v/>
      </c>
      <c r="N71" s="50" t="str">
        <f>IF(SUM(N72:N82),SUM(N72:N82),"")</f>
        <v/>
      </c>
      <c r="O71" s="55" t="str">
        <f t="shared" ref="O71:Z71" si="31">IF(SUM(O72:O83),SUM(O72:O83),"")</f>
        <v/>
      </c>
      <c r="P71" s="55" t="str">
        <f t="shared" si="31"/>
        <v/>
      </c>
      <c r="Q71" s="55" t="str">
        <f t="shared" si="31"/>
        <v/>
      </c>
      <c r="R71" s="55" t="str">
        <f t="shared" si="31"/>
        <v/>
      </c>
      <c r="S71" s="55" t="str">
        <f t="shared" si="31"/>
        <v/>
      </c>
      <c r="T71" s="55" t="str">
        <f t="shared" si="31"/>
        <v/>
      </c>
      <c r="U71" s="55" t="str">
        <f t="shared" si="31"/>
        <v/>
      </c>
      <c r="V71" s="55" t="str">
        <f t="shared" si="31"/>
        <v/>
      </c>
      <c r="W71" s="55" t="str">
        <f t="shared" si="31"/>
        <v/>
      </c>
      <c r="X71" s="55" t="str">
        <f t="shared" si="31"/>
        <v/>
      </c>
      <c r="Y71" s="55" t="str">
        <f t="shared" si="31"/>
        <v/>
      </c>
      <c r="Z71" s="55" t="str">
        <f t="shared" si="31"/>
        <v/>
      </c>
      <c r="AA71" s="56" t="str">
        <f>IF(SUM(AA74:AA83),SUM(AA74:AA83),"")</f>
        <v/>
      </c>
      <c r="AB71" s="56" t="str">
        <f>IF(SUM(AB75:AB83),SUM(AB75:AB83),"")</f>
        <v/>
      </c>
      <c r="AC71" s="56" t="str">
        <f>IF(SUM(AC76:AC83),SUM(AC76:AC83),"")</f>
        <v/>
      </c>
      <c r="AD71" s="56" t="str">
        <f>IF(SUM(AD77:AD83),SUM(AD77:AD83),"")</f>
        <v/>
      </c>
      <c r="AE71" s="56" t="str">
        <f>IF(SUM(AE78:AE83),SUM(AE78:AE83),"")</f>
        <v/>
      </c>
      <c r="AF71" s="56" t="str">
        <f>IF(SUM(AF79:AF83),SUM(AF79:AF83),"")</f>
        <v/>
      </c>
      <c r="AG71" s="56" t="str">
        <f>IF(SUM(AG80:AG83),SUM(AG80:AG83),"")</f>
        <v/>
      </c>
      <c r="AH71" s="56" t="str">
        <f>IF(SUM(AH81:AH83),SUM(AH81:AH83),"")</f>
        <v/>
      </c>
      <c r="AI71" s="56" t="str">
        <f>IF(SUM(AI82:AI83),SUM(AI82:AI83),"")</f>
        <v/>
      </c>
      <c r="AJ71" s="56" t="str">
        <f>IF(SUM(AJ83),SUM(AJ83),"")</f>
        <v/>
      </c>
      <c r="AK71" s="1"/>
      <c r="AL71" s="1"/>
    </row>
    <row r="72" spans="1:38" hidden="1">
      <c r="A72" s="90" t="s">
        <v>83</v>
      </c>
      <c r="B72" s="51">
        <f>IF('Reverse Engineering Valuation'!F44,'Reverse Engineering Valuation'!H44,'Reverse Engineering Valuation'!E44)</f>
        <v>0</v>
      </c>
      <c r="C72" s="91"/>
      <c r="D72" s="50" t="str">
        <f>IF(OR(NOT(C68),(COLUMN()-3)-(B70+1)&lt;0,(B70+1+B71) - (COLUMN()-2) &lt;0),"",C68*(1-B69)/(B71+1)*B68)</f>
        <v/>
      </c>
      <c r="E72" s="50" t="str">
        <f>IF(OR(NOT(C68),(COLUMN()-3)-(B70+1)&lt;0,(B70+1+B71) - (COLUMN()-2) &lt;0),"",C68*(1-B69)/(B71+1)*B68)</f>
        <v/>
      </c>
      <c r="F72" s="50" t="str">
        <f>IF(OR(NOT(C68),(COLUMN()-3)-(B70+1)&lt;0,(B70+1+B71) - (COLUMN()-2) &lt;0),"",C68*(1-B69)/(B71+1)*B68)</f>
        <v/>
      </c>
      <c r="G72" s="50" t="str">
        <f>IF(OR(NOT(C68),(COLUMN()-3)-(B70+1)&lt;0,(B70+1+B71) - (COLUMN()-2) &lt;0),"",C68*(1-B69)/(B71+1)*B68)</f>
        <v/>
      </c>
      <c r="H72" s="50" t="str">
        <f>IF(OR(NOT(C68),(COLUMN()-3)-(B70+1)&lt;0,(B70+1+B71) - (COLUMN()-2) &lt;0),"",C68*(1-B69)/(B71+1)*B68)</f>
        <v/>
      </c>
      <c r="I72" s="50" t="str">
        <f>IF(OR(NOT(C68),(COLUMN()-3)-(B70+1)&lt;0,(B70+1+B71) - (COLUMN()-2) &lt;0),"",C68*(1-B69)/(B71+1)*B68)</f>
        <v/>
      </c>
      <c r="J72" s="50" t="str">
        <f>IF(OR(NOT(C68),(COLUMN()-3)-(B70+1)&lt;0,(B70+1+B71) - (COLUMN()-2) &lt;0),"",C68*(1-B69)/(B71+1)*B68)</f>
        <v/>
      </c>
      <c r="K72" s="50" t="str">
        <f>IF(OR(NOT(C68),(COLUMN()-3)-(B70+1)&lt;0,(B70+1+B71) - (COLUMN()-2) &lt;0),"",C68*(1-B69)/(B71+1)*B68)</f>
        <v/>
      </c>
      <c r="L72" s="50" t="str">
        <f>IF(OR(NOT(C68),(COLUMN()-3)-(B70+1)&lt;0,(B70+1+B71) - (COLUMN()-2) &lt;0),"",C68*(1-B69)/(B71+1)*B68)</f>
        <v/>
      </c>
      <c r="M72" s="50" t="str">
        <f>IF(OR(NOT(C68),(COLUMN()-3)-(B70+1)&lt;0,(B70+1+B71) - (COLUMN()-2) &lt;0),"",C68*(1-B69)/(B71+1)*B68)</f>
        <v/>
      </c>
      <c r="N72" s="50" t="str">
        <f>IF(OR(NOT(C68),(COLUMN()-3)-(B70+1)&lt;0,(B70+1+B71) - (COLUMN()-2) &lt;0),"",C68*(1-B69)/(B71+1)*B68)</f>
        <v/>
      </c>
      <c r="O72" s="55" t="str">
        <f>IF(OR(NOT(C68),(COLUMN()-3)-(B70+1)&lt;0,(B70+1+B71) - (COLUMN()-2) &lt;0),"",C68*(1-B69)/(B71+1)*B68)</f>
        <v/>
      </c>
      <c r="P72" s="55" t="str">
        <f>IF(OR(NOT(C68),(COLUMN()-3)-(B70+1)&lt;0,(B70+1+B71) - (COLUMN()-2) &lt;0),"",C68*(1-B69)/(B71+1)*B68)</f>
        <v/>
      </c>
      <c r="Q72" s="55" t="str">
        <f>IF(OR(NOT(C68),(COLUMN()-3)-(B70+1)&lt;0,(B70+1+B71) - (COLUMN()-2) &lt;0),"",C68*(1-B69)/(B71+1)*B68)</f>
        <v/>
      </c>
      <c r="R72" s="55" t="str">
        <f>IF(OR(NOT(C68),(COLUMN()-3)-(B70+1)&lt;0,(B70+1+B71) - (COLUMN()-2) &lt;0),"",C68*(1-B69)/(B71+1)*B68)</f>
        <v/>
      </c>
      <c r="S72" s="55" t="str">
        <f>IF(OR(NOT(C68),(COLUMN()-3)-(B70+1)&lt;0,(B70+1+B71) - (COLUMN()-2) &lt;0),"",C68*(1-B69)/(B71+1)*B68)</f>
        <v/>
      </c>
      <c r="T72" s="55" t="str">
        <f>IF(OR(NOT(C68),(COLUMN()-3)-(B70+1)&lt;0,(B70+1+B71) - (COLUMN()-2) &lt;0),"",C68*(1-B69)/(B71+1)*B68)</f>
        <v/>
      </c>
      <c r="U72" s="55" t="str">
        <f>IF(OR(NOT(C68),(COLUMN()-3)-(B70+1)&lt;0,(B70+1+B71) - (COLUMN()-2) &lt;0),"",C68*(1-B69)/(B71+1)*B68)</f>
        <v/>
      </c>
      <c r="V72" s="55" t="str">
        <f>IF(OR(NOT(C68),(COLUMN()-3)-(B70+1)&lt;0,(B70+1+B71) - (COLUMN()-2) &lt;0),"",C68*(1-B69)/(B71+1)*B68)</f>
        <v/>
      </c>
      <c r="W72" s="55" t="str">
        <f>IF(OR(NOT(C68),(COLUMN()-3)-(B70+1)&lt;0,(B70+1+B71) - (COLUMN()-2) &lt;0),"",C68*(1-B69)/(B71+1)*B68)</f>
        <v/>
      </c>
      <c r="X72" s="55" t="str">
        <f>IF(OR(NOT(C68),(COLUMN()-3)-(B70+1)&lt;0,(B70+1+B71) - (COLUMN()-2) &lt;0),"",C68*(1-B69)/(B71+1)*B68)</f>
        <v/>
      </c>
      <c r="Y72" s="55" t="str">
        <f>IF(OR(NOT(C68),(COLUMN()-3)-(B70+1)&lt;0,(B70+1+B71) - (COLUMN()-2) &lt;0),"",C68*(1-B69)/(B71+1)*B68)</f>
        <v/>
      </c>
      <c r="Z72" s="55" t="str">
        <f>IF(OR(NOT(C68),(COLUMN()-3)-(B70+1)&lt;0,(B70+1+B71) - (COLUMN()-2) &lt;0),"",C68*(1-B69)/(B71+1)*B68)</f>
        <v/>
      </c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1"/>
    </row>
    <row r="73" spans="1:38" hidden="1">
      <c r="A73" s="90" t="s">
        <v>84</v>
      </c>
      <c r="B73" s="54">
        <f>B72-SUM(C68:N68)</f>
        <v>0</v>
      </c>
      <c r="C73" s="91"/>
      <c r="D73" s="91"/>
      <c r="E73" s="50" t="str">
        <f>IF(OR(NOT(D68),(COLUMN()-3)-(B70+2)&lt;0,(B70+2 +B71) - (COLUMN()-2) &lt;0),"",D68*(1-B69)/(B71+1)*B68)</f>
        <v/>
      </c>
      <c r="F73" s="50" t="str">
        <f>IF(OR(NOT(D68),(COLUMN()-3)-(B70+2)&lt;0,(B70+2 +B71) - (COLUMN()-2) &lt;0),"",D68*(1-B69)/(B71+1)*B68)</f>
        <v/>
      </c>
      <c r="G73" s="50" t="str">
        <f>IF(OR(NOT(D68),(COLUMN()-3)-(B70+2)&lt;0,(B70+2 +B71) - (COLUMN()-2) &lt;0),"",D68*(1-B69)/(B71+1)*B68)</f>
        <v/>
      </c>
      <c r="H73" s="50" t="str">
        <f>IF(OR(NOT(D68),(COLUMN()-3)-(B70+2)&lt;0,(B70+2 +B71) - (COLUMN()-2) &lt;0),"",D68*(1-B69)/(B71+1)*B68)</f>
        <v/>
      </c>
      <c r="I73" s="50" t="str">
        <f>IF(OR(NOT(D68),(COLUMN()-3)-(B70+2)&lt;0,(B70+2 +B71) - (COLUMN()-2) &lt;0),"",D68*(1-B69)/(B71+1)*B68)</f>
        <v/>
      </c>
      <c r="J73" s="50" t="str">
        <f>IF(OR(NOT(D68),(COLUMN()-3)-(B70+2)&lt;0,(B70+2 +B71) - (COLUMN()-2) &lt;0),"",D68*(1-B69)/(B71+1)*B68)</f>
        <v/>
      </c>
      <c r="K73" s="50" t="str">
        <f>IF(OR(NOT(D68),(COLUMN()-3)-(B70+2)&lt;0,(B70+2 +B71) - (COLUMN()-2) &lt;0),"",D68*(1-B69)/(B71+1)*B68)</f>
        <v/>
      </c>
      <c r="L73" s="50" t="str">
        <f>IF(OR(NOT(D68),(COLUMN()-3)-(B70+2)&lt;0,(B70+2 +B71) - (COLUMN()-2) &lt;0),"",D68*(1-B69)/(B71+1)*B68)</f>
        <v/>
      </c>
      <c r="M73" s="50" t="str">
        <f>IF(OR(NOT(D68),(COLUMN()-3)-(B70+2)&lt;0,(B70+2 +B71) - (COLUMN()-2) &lt;0),"",D68*(1-B69)/(B71+1)*B68)</f>
        <v/>
      </c>
      <c r="N73" s="50" t="str">
        <f>IF(OR(NOT(D68),(COLUMN()-3)-(B70+2)&lt;0,(B70+2 +B71) - (COLUMN()-2) &lt;0),"",D68*(1-B69)/(B71+1)*B68)</f>
        <v/>
      </c>
      <c r="O73" s="55" t="str">
        <f>IF(OR(NOT(D68),(COLUMN()-3)-(B70+2)&lt;0,(B70+2 +B71) - (COLUMN()-2) &lt;0),"",D68*(1-B69)/(B71+1)*B68)</f>
        <v/>
      </c>
      <c r="P73" s="55" t="str">
        <f>IF(OR(NOT(D68),(COLUMN()-3)-(B70+2)&lt;0,(B70+2 +B71) - (COLUMN()-2) &lt;0),"",D68*(1-B69)/(B71+1)*B68)</f>
        <v/>
      </c>
      <c r="Q73" s="55" t="str">
        <f>IF(OR(NOT(D68),(COLUMN()-3)-(B70+2)&lt;0,(B70+2 +B71) - (COLUMN()-2) &lt;0),"",D68*(1-B69)/(B71+1)*B68)</f>
        <v/>
      </c>
      <c r="R73" s="55" t="str">
        <f>IF(OR(NOT(D68),(COLUMN()-3)-(B70+2)&lt;0,(B70+2 +B71) - (COLUMN()-2) &lt;0),"",D68*(1-B69)/(B71+1)*B68)</f>
        <v/>
      </c>
      <c r="S73" s="55" t="str">
        <f>IF(OR(NOT(D68),(COLUMN()-3)-(B70+2)&lt;0,(B70+2 +B71) - (COLUMN()-2) &lt;0),"",D68*(1-B69)/(B71+1)*B68)</f>
        <v/>
      </c>
      <c r="T73" s="55" t="str">
        <f>IF(OR(NOT(D68),(COLUMN()-3)-(B70+2)&lt;0,(B70+2 +B71) - (COLUMN()-2) &lt;0),"",D68*(1-B69)/(B71+1)*B68)</f>
        <v/>
      </c>
      <c r="U73" s="55" t="str">
        <f>IF(OR(NOT(D68),(COLUMN()-3)-(B70+2)&lt;0,(B70+2 +B71) - (COLUMN()-2) &lt;0),"",D68*(1-B69)/(B71+1)*B68)</f>
        <v/>
      </c>
      <c r="V73" s="55" t="str">
        <f>IF(OR(NOT(D68),(COLUMN()-3)-(B70+2)&lt;0,(B70+2 +B71) - (COLUMN()-2) &lt;0),"",D68*(1-B69)/(B71+1)*B68)</f>
        <v/>
      </c>
      <c r="W73" s="55" t="str">
        <f>IF(OR(NOT(D68),(COLUMN()-3)-(B70+2)&lt;0,(B70+2 +B71) - (COLUMN()-2) &lt;0),"",D68*(1-B69)/(B71+1)*B68)</f>
        <v/>
      </c>
      <c r="X73" s="55" t="str">
        <f>IF(OR(NOT(D68),(COLUMN()-3)-(B70+2)&lt;0,(B70+2 +B71) - (COLUMN()-2) &lt;0),"",D68*(1-B69)/(B71+1)*B68)</f>
        <v/>
      </c>
      <c r="Y73" s="55" t="str">
        <f>IF(OR(NOT(D68),(COLUMN()-3)-(B70+2)&lt;0,(B70+2 +B71) - (COLUMN()-2) &lt;0),"",D68*(1-B69)/(B71+1)*B68)</f>
        <v/>
      </c>
      <c r="Z73" s="55" t="str">
        <f>IF(OR(NOT(D68),(COLUMN()-3)-(B70+2)&lt;0,(B70+2 +B71) - (COLUMN()-2) &lt;0),"",D68*(1-B69)/(B71+1)*B68)</f>
        <v/>
      </c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1"/>
    </row>
    <row r="74" spans="1:38" hidden="1">
      <c r="A74" s="91"/>
      <c r="B74" s="91"/>
      <c r="C74" s="91"/>
      <c r="D74" s="91"/>
      <c r="E74" s="91"/>
      <c r="F74" s="50" t="str">
        <f>IF(OR(NOT(E68),(COLUMN()-3)-(B70+3)&lt;0,(B70+3+B71) - (COLUMN()-2) &lt;0),"",E68*(1-B69)/(B71+1)*B68)</f>
        <v/>
      </c>
      <c r="G74" s="50" t="str">
        <f>IF(OR(NOT(E68),(COLUMN()-3)-(B70+3)&lt;0,(B70+3+B71) - (COLUMN()-2) &lt;0),"",E68*(1-B69)/(B71+1)*B68)</f>
        <v/>
      </c>
      <c r="H74" s="50" t="str">
        <f>IF(OR(NOT(E68),(COLUMN()-3)-(B70+3)&lt;0,(B70+3+B71) - (COLUMN()-2) &lt;0),"",E68*(1-B69)/(B71+1)*B68)</f>
        <v/>
      </c>
      <c r="I74" s="50" t="str">
        <f>IF(OR(NOT(E68),(COLUMN()-3)-(B70+3)&lt;0,(B70+3+B71) - (COLUMN()-2) &lt;0),"",E68*(1-B69)/(B71+1)*B68)</f>
        <v/>
      </c>
      <c r="J74" s="50" t="str">
        <f>IF(OR(NOT(E68),(COLUMN()-3)-(B70+3)&lt;0,(B70+3+B71) - (COLUMN()-2) &lt;0),"",E68*(1-B69)/(B71+1)*B68)</f>
        <v/>
      </c>
      <c r="K74" s="50" t="str">
        <f>IF(OR(NOT(E68),(COLUMN()-3)-(B70+3)&lt;0,(B70+3+B71) - (COLUMN()-2) &lt;0),"",E68*(1-B69)/(B71+1)*B68)</f>
        <v/>
      </c>
      <c r="L74" s="50" t="str">
        <f>IF(OR(NOT(E68),(COLUMN()-3)-(B70+3)&lt;0,(B70+3+B71) - (COLUMN()-2) &lt;0),"",E68*(1-B69)/(B71+1)*B68)</f>
        <v/>
      </c>
      <c r="M74" s="50" t="str">
        <f>IF(OR(NOT(E68),(COLUMN()-3)-(B70+3)&lt;0,(B70+3+B71) - (COLUMN()-2) &lt;0),"",E68*(1-B69)/(B71+1)*B68)</f>
        <v/>
      </c>
      <c r="N74" s="50" t="str">
        <f>IF(OR(NOT(E68),(COLUMN()-3)-(B70+3)&lt;0,(B70+3+B71) - (COLUMN()-2) &lt;0),"",E68*(1-B69)/(B71+1)*B68)</f>
        <v/>
      </c>
      <c r="O74" s="55" t="str">
        <f>IF(OR(NOT(E68),(COLUMN()-3)-(B70+3)&lt;0,(B70+3+B71) - (COLUMN()-2) &lt;0),"",E68*(1-B69)/(B71+1)*B68)</f>
        <v/>
      </c>
      <c r="P74" s="55" t="str">
        <f>IF(OR(NOT(E68),(COLUMN()-3)-(B70+3)&lt;0,(B70+3+B71) - (COLUMN()-2) &lt;0),"",E68*(1-B69)/(B71+1)*B68)</f>
        <v/>
      </c>
      <c r="Q74" s="55" t="str">
        <f>IF(OR(NOT(E68),(COLUMN()-3)-(B70+3)&lt;0,(B70+3+B71) - (COLUMN()-2) &lt;0),"",E68*(1-B69)/(B71+1)*B68)</f>
        <v/>
      </c>
      <c r="R74" s="55" t="str">
        <f>IF(OR(NOT(E68),(COLUMN()-3)-(B70+3)&lt;0,(B70+3+B71) - (COLUMN()-2) &lt;0),"",E68*(1-B69)/(B71+1)*B68)</f>
        <v/>
      </c>
      <c r="S74" s="55" t="str">
        <f>IF(OR(NOT(E68),(COLUMN()-3)-(B70+3)&lt;0,(B70+3+B71) - (COLUMN()-2) &lt;0),"",E68*(1-B69)/(B71+1)*B68)</f>
        <v/>
      </c>
      <c r="T74" s="55" t="str">
        <f>IF(OR(NOT(E68),(COLUMN()-3)-(B70+3)&lt;0,(B70+3+B71) - (COLUMN()-2) &lt;0),"",E68*(1-B69)/(B71+1)*B68)</f>
        <v/>
      </c>
      <c r="U74" s="55" t="str">
        <f>IF(OR(NOT(E68),(COLUMN()-3)-(B70+3)&lt;0,(B70+3+B71) - (COLUMN()-2) &lt;0),"",E68*(1-B69)/(B71+1)*B68)</f>
        <v/>
      </c>
      <c r="V74" s="55" t="str">
        <f>IF(OR(NOT(E68),(COLUMN()-3)-(B70+3)&lt;0,(B70+3+B71) - (COLUMN()-2) &lt;0),"",E68*(1-B69)/(B71+1)*B68)</f>
        <v/>
      </c>
      <c r="W74" s="55" t="str">
        <f>IF(OR(NOT(E68),(COLUMN()-3)-(B70+3)&lt;0,(B70+3+B71) - (COLUMN()-2) &lt;0),"",E68*(1-B69)/(B71+1)*B68)</f>
        <v/>
      </c>
      <c r="X74" s="55" t="str">
        <f>IF(OR(NOT(E68),(COLUMN()-3)-(B70+3)&lt;0,(B70+3+B71) - (COLUMN()-2) &lt;0),"",E68*(1-B69)/(B71+1)*B68)</f>
        <v/>
      </c>
      <c r="Y74" s="55" t="str">
        <f>IF(OR(NOT(E68),(COLUMN()-3)-(B70+3)&lt;0,(B70+3+B71) - (COLUMN()-2) &lt;0),"",E68*(1-B69)/(B71+1)*B68)</f>
        <v/>
      </c>
      <c r="Z74" s="55" t="str">
        <f>IF(OR(NOT(E68),(COLUMN()-3)-(B70+3)&lt;0,(B70+3+B71) - (COLUMN()-2) &lt;0),"",E68*(1-B69)/(B71+1)*B68)</f>
        <v/>
      </c>
      <c r="AA74" s="56" t="str">
        <f>IF(OR(NOT(E68),(COLUMN()-3)-(B70+3)&lt;0,(B70+3+B71) - (COLUMN()-2) &lt;0),"",E68*(1-B69)/(B71+1)*B68)</f>
        <v/>
      </c>
      <c r="AB74" s="91"/>
      <c r="AC74" s="91"/>
      <c r="AD74" s="91"/>
      <c r="AE74" s="91"/>
      <c r="AF74" s="91"/>
      <c r="AG74" s="91"/>
      <c r="AH74" s="91"/>
      <c r="AI74" s="91"/>
      <c r="AJ74" s="91"/>
    </row>
    <row r="75" spans="1:38" hidden="1">
      <c r="A75" s="91"/>
      <c r="B75" s="91"/>
      <c r="C75" s="91"/>
      <c r="D75" s="91"/>
      <c r="E75" s="91"/>
      <c r="F75" s="91"/>
      <c r="G75" s="50" t="str">
        <f>IF(OR(NOT(F68),(COLUMN()-3)-(B70+4)&lt;0,(B70+4+B71) - (COLUMN()-2) &lt;0),"",F68*(1-B69)/(B71+1)*B68)</f>
        <v/>
      </c>
      <c r="H75" s="50" t="str">
        <f>IF(OR(NOT(F68),(COLUMN()-3)-(B70+4)&lt;0,(B70+4+B71) - (COLUMN()-2) &lt;0),"",F68*(1-B69)/(B71+1)*B68)</f>
        <v/>
      </c>
      <c r="I75" s="50" t="str">
        <f>IF(OR(NOT(F68),(COLUMN()-3)-(B70+4)&lt;0,(B70+4+B71) - (COLUMN()-2) &lt;0),"",F68*(1-B69)/(B71+1)*B68)</f>
        <v/>
      </c>
      <c r="J75" s="50" t="str">
        <f>IF(OR(NOT(F68),(COLUMN()-3)-(B70+4)&lt;0,(B70+4+B71) - (COLUMN()-2) &lt;0),"",F68*(1-B69)/(B71+1)*B68)</f>
        <v/>
      </c>
      <c r="K75" s="50" t="str">
        <f>IF(OR(NOT(F68),(COLUMN()-3)-(B70+4)&lt;0,(B70+4+B71) - (COLUMN()-2) &lt;0),"",F68*(1-B69)/(B71+1)*B68)</f>
        <v/>
      </c>
      <c r="L75" s="50" t="str">
        <f>IF(OR(NOT(F68),(COLUMN()-3)-(B70+4)&lt;0,(B70+4+B71) - (COLUMN()-2) &lt;0),"",F68*(1-B69)/(B71+1)*B68)</f>
        <v/>
      </c>
      <c r="M75" s="50" t="str">
        <f>IF(OR(NOT(F68),(COLUMN()-3)-(B70+4)&lt;0,(B70+4+B71) - (COLUMN()-2) &lt;0),"",F68*(1-B69)/(B71+1)*B68)</f>
        <v/>
      </c>
      <c r="N75" s="50" t="str">
        <f>IF(OR(NOT(F68),(COLUMN()-3)-(B70+4)&lt;0,(B70+4+B71) - (COLUMN()-2) &lt;0),"",F68*(1-B69)/(B71+1)*B68)</f>
        <v/>
      </c>
      <c r="O75" s="55" t="str">
        <f>IF(OR(NOT(F68),(COLUMN()-3)-(B70+4)&lt;0,(B70+4+B71) - (COLUMN()-2) &lt;0),"",F68*(1-B69)/(B71+1)*B68)</f>
        <v/>
      </c>
      <c r="P75" s="55" t="str">
        <f>IF(OR(NOT(F68),(COLUMN()-3)-(B70+4)&lt;0,(B70+4+B71) - (COLUMN()-2) &lt;0),"",F68*(1-B69)/(B71+1)*B68)</f>
        <v/>
      </c>
      <c r="Q75" s="55" t="str">
        <f>IF(OR(NOT(F68),(COLUMN()-3)-(B70+4)&lt;0,(B70+4+B71) - (COLUMN()-2) &lt;0),"",F68*(1-B69)/(B71+1)*B68)</f>
        <v/>
      </c>
      <c r="R75" s="55" t="str">
        <f>IF(OR(NOT(F68),(COLUMN()-3)-(B70+4)&lt;0,(B70+4+B71) - (COLUMN()-2) &lt;0),"",F68*(1-B69)/(B71+1)*B68)</f>
        <v/>
      </c>
      <c r="S75" s="55" t="str">
        <f>IF(OR(NOT(F68),(COLUMN()-3)-(B70+4)&lt;0,(B70+4+B71) - (COLUMN()-2) &lt;0),"",F68*(1-B69)/(B71+1)*B68)</f>
        <v/>
      </c>
      <c r="T75" s="55" t="str">
        <f>IF(OR(NOT(F68),(COLUMN()-3)-(B70+4)&lt;0,(B70+4+B71) - (COLUMN()-2) &lt;0),"",F68*(1-B69)/(B71+1)*B68)</f>
        <v/>
      </c>
      <c r="U75" s="55" t="str">
        <f>IF(OR(NOT(F68),(COLUMN()-3)-(B70+4)&lt;0,(B70+4+B71) - (COLUMN()-2) &lt;0),"",F68*(1-B69)/(B71+1)*B68)</f>
        <v/>
      </c>
      <c r="V75" s="55" t="str">
        <f>IF(OR(NOT(F68),(COLUMN()-3)-(B70+4)&lt;0,(B70+4+B71) - (COLUMN()-2) &lt;0),"",F68*(1-B69)/(B71+1)*B68)</f>
        <v/>
      </c>
      <c r="W75" s="55" t="str">
        <f>IF(OR(NOT(F68),(COLUMN()-3)-(B70+4)&lt;0,(B70+4+B71) - (COLUMN()-2) &lt;0),"",F68*(1-B69)/(B71+1)*B68)</f>
        <v/>
      </c>
      <c r="X75" s="55" t="str">
        <f>IF(OR(NOT(F68),(COLUMN()-3)-(B70+4)&lt;0,(B70+4+B71) - (COLUMN()-2) &lt;0),"",F68*(1-B69)/(B71+1)*B68)</f>
        <v/>
      </c>
      <c r="Y75" s="55" t="str">
        <f>IF(OR(NOT(F68),(COLUMN()-3)-(B70+4)&lt;0,(B70+4+B71) - (COLUMN()-2) &lt;0),"",F68*(1-B69)/(B71+1)*B68)</f>
        <v/>
      </c>
      <c r="Z75" s="55" t="str">
        <f>IF(OR(NOT(F68),(COLUMN()-3)-(B70+4)&lt;0,(B70+4+B71) - (COLUMN()-2) &lt;0),"",F68*(1-B69)/(B71+1)*B68)</f>
        <v/>
      </c>
      <c r="AA75" s="56" t="str">
        <f>IF(OR(NOT(F68),(COLUMN()-3)-(B70+4)&lt;0,(B70+4+B71) - (COLUMN()-2) &lt;0),"",F68*(1-B69)/(B71+1)*B68)</f>
        <v/>
      </c>
      <c r="AB75" s="56" t="str">
        <f>IF(OR(NOT(F68),(COLUMN()-3)-(B70+4)&lt;0,(B70+4+B71) - (COLUMN()-2) &lt;0),"",F68*(1-B69)/(B71+1)*B68)</f>
        <v/>
      </c>
      <c r="AC75" s="91"/>
      <c r="AD75" s="91"/>
      <c r="AE75" s="91"/>
      <c r="AF75" s="91"/>
      <c r="AG75" s="91"/>
      <c r="AH75" s="91"/>
      <c r="AI75" s="91"/>
      <c r="AJ75" s="91"/>
    </row>
    <row r="76" spans="1:38" hidden="1">
      <c r="A76" s="91"/>
      <c r="B76" s="91"/>
      <c r="C76" s="91"/>
      <c r="D76" s="91"/>
      <c r="E76" s="91"/>
      <c r="F76" s="91"/>
      <c r="G76" s="91"/>
      <c r="H76" s="50" t="str">
        <f>IF(OR(NOT(G68),(COLUMN()-3)-(B70+5)&lt;0,(B70+5+B71) - (COLUMN()-2) &lt;0),"",G68*(1-B69)/(B71+1)*B68)</f>
        <v/>
      </c>
      <c r="I76" s="50" t="str">
        <f>IF(OR(NOT(G68),(COLUMN()-3)-(B70+5)&lt;0,(B70+5+B71) - (COLUMN()-2) &lt;0),"",G68*(1-B69)/(B71+1)*B68)</f>
        <v/>
      </c>
      <c r="J76" s="50" t="str">
        <f>IF(OR(NOT(G68),(COLUMN()-3)-(B70+5)&lt;0,(B70+5+B71) - (COLUMN()-2) &lt;0),"",G68*(1-B69)/(B71+1)*B68)</f>
        <v/>
      </c>
      <c r="K76" s="50" t="str">
        <f>IF(OR(NOT(G68),(COLUMN()-3)-(B70+5)&lt;0,(B70+5+B71) - (COLUMN()-2) &lt;0),"",G68*(1-B69)/(B71+1)*B68)</f>
        <v/>
      </c>
      <c r="L76" s="50" t="str">
        <f>IF(OR(NOT(G68),(COLUMN()-3)-(B70+5)&lt;0,(B70+5+B71) - (COLUMN()-2) &lt;0),"",G68*(1-B69)/(B71+1)*B68)</f>
        <v/>
      </c>
      <c r="M76" s="50" t="str">
        <f>IF(OR(NOT(G68),(COLUMN()-3)-(B70+5)&lt;0,(B70+5+B71) - (COLUMN()-2) &lt;0),"",G68*(1-B69)/(B71+1)*B68)</f>
        <v/>
      </c>
      <c r="N76" s="50" t="str">
        <f>IF(OR(NOT(G68),(COLUMN()-3)-(B70+5)&lt;0,(B70+5+B71) - (COLUMN()-2) &lt;0),"",G68*(1-B69)/(B71+1)*B68)</f>
        <v/>
      </c>
      <c r="O76" s="55" t="str">
        <f>IF(OR(NOT(G68),(COLUMN()-3)-(B70+5)&lt;0,(B70+5+B71) - (COLUMN()-2) &lt;0),"",G68*(1-B69)/(B71+1)*B68)</f>
        <v/>
      </c>
      <c r="P76" s="55" t="str">
        <f>IF(OR(NOT(G68),(COLUMN()-3)-(B70+5)&lt;0,(B70+5+B71) - (COLUMN()-2) &lt;0),"",G68*(1-B69)/(B71+1)*B68)</f>
        <v/>
      </c>
      <c r="Q76" s="55" t="str">
        <f>IF(OR(NOT(G68),(COLUMN()-3)-(B70+5)&lt;0,(B70+5+B71) - (COLUMN()-2) &lt;0),"",G68*(1-B69)/(B71+1)*B68)</f>
        <v/>
      </c>
      <c r="R76" s="55" t="str">
        <f>IF(OR(NOT(G68),(COLUMN()-3)-(B70+5)&lt;0,(B70+5+B71) - (COLUMN()-2) &lt;0),"",G68*(1-B69)/(B71+1)*B68)</f>
        <v/>
      </c>
      <c r="S76" s="55" t="str">
        <f>IF(OR(NOT(G68),(COLUMN()-3)-(B70+5)&lt;0,(B70+5+B71) - (COLUMN()-2) &lt;0),"",G68*(1-B69)/(B71+1)*B68)</f>
        <v/>
      </c>
      <c r="T76" s="55" t="str">
        <f>IF(OR(NOT(G68),(COLUMN()-3)-(B70+5)&lt;0,(B70+5+B71) - (COLUMN()-2) &lt;0),"",G68*(1-B69)/(B71+1)*B68)</f>
        <v/>
      </c>
      <c r="U76" s="55" t="str">
        <f>IF(OR(NOT(G68),(COLUMN()-3)-(B70+5)&lt;0,(B70+5+B71) - (COLUMN()-2) &lt;0),"",G68*(1-B69)/(B71+1)*B68)</f>
        <v/>
      </c>
      <c r="V76" s="55" t="str">
        <f>IF(OR(NOT(G68),(COLUMN()-3)-(B70+5)&lt;0,(B70+5+B71) - (COLUMN()-2) &lt;0),"",G68*(1-B69)/(B71+1)*B68)</f>
        <v/>
      </c>
      <c r="W76" s="55" t="str">
        <f>IF(OR(NOT(G68),(COLUMN()-3)-(B70+5)&lt;0,(B70+5+B71) - (COLUMN()-2) &lt;0),"",G68*(1-B69)/(B71+1)*B68)</f>
        <v/>
      </c>
      <c r="X76" s="55" t="str">
        <f>IF(OR(NOT(G68),(COLUMN()-3)-(B70+5)&lt;0,(B70+5+B71) - (COLUMN()-2) &lt;0),"",G68*(1-B69)/(B71+1)*B68)</f>
        <v/>
      </c>
      <c r="Y76" s="55" t="str">
        <f>IF(OR(NOT(G68),(COLUMN()-3)-(B70+5)&lt;0,(B70+5+B71) - (COLUMN()-2) &lt;0),"",G68*(1-B69)/(B71+1)*B68)</f>
        <v/>
      </c>
      <c r="Z76" s="55" t="str">
        <f>IF(OR(NOT(G68),(COLUMN()-3)-(B70+5)&lt;0,(B70+5+B71) - (COLUMN()-2) &lt;0),"",G68*(1-B69)/(B71+1)*B68)</f>
        <v/>
      </c>
      <c r="AA76" s="56" t="str">
        <f>IF(OR(NOT(G68),(COLUMN()-3)-(B70+5)&lt;0,(B70+5+B71) - (COLUMN()-2) &lt;0),"",G68*(1-B69)/(B71+1)*B68)</f>
        <v/>
      </c>
      <c r="AB76" s="56" t="str">
        <f>IF(OR(NOT(G68),(COLUMN()-3)-(B70+5)&lt;0,(B70+5+B71) - (COLUMN()-2) &lt;0),"",G68*(1-B69)/(B71+1)*B68)</f>
        <v/>
      </c>
      <c r="AC76" s="56" t="str">
        <f>IF(OR(NOT(G68),(COLUMN()-3)-(B70+5)&lt;0,(B70+5+B71) - (COLUMN()-2) &lt;0),"",G68*(1-B69)/(B71+1)*B68)</f>
        <v/>
      </c>
      <c r="AD76" s="91"/>
      <c r="AE76" s="91"/>
      <c r="AF76" s="91"/>
      <c r="AG76" s="91"/>
      <c r="AH76" s="91"/>
      <c r="AI76" s="91"/>
      <c r="AJ76" s="91"/>
    </row>
    <row r="77" spans="1:38" hidden="1">
      <c r="A77" s="91"/>
      <c r="B77" s="91"/>
      <c r="C77" s="91"/>
      <c r="D77" s="91"/>
      <c r="E77" s="91"/>
      <c r="F77" s="91"/>
      <c r="G77" s="91"/>
      <c r="H77" s="91"/>
      <c r="I77" s="50" t="str">
        <f>IF(OR(NOT(H68),(COLUMN()-3)-(B70+6)&lt;0,(B70+6+B71) - (COLUMN()-2) &lt;0),"",H68*(1-B69)/(B71+1)*B68)</f>
        <v/>
      </c>
      <c r="J77" s="50" t="str">
        <f>IF(OR(NOT(H68),(COLUMN()-3)-(B70+6)&lt;0,(B70+6+B71) - (COLUMN()-2) &lt;0),"",H68*(1-B69)/(B71+1)*B68)</f>
        <v/>
      </c>
      <c r="K77" s="50" t="str">
        <f>IF(OR(NOT(H68),(COLUMN()-3)-(B70+6)&lt;0,(B70+6+B71) - (COLUMN()-2) &lt;0),"",H68*(1-B69)/(B71+1)*B68)</f>
        <v/>
      </c>
      <c r="L77" s="50" t="str">
        <f>IF(OR(NOT(H68),(COLUMN()-3)-(B70+6)&lt;0,(B70+6+B71) - (COLUMN()-2) &lt;0),"",H68*(1-B69)/(B71+1)*B68)</f>
        <v/>
      </c>
      <c r="M77" s="50" t="str">
        <f>IF(OR(NOT(H68),(COLUMN()-3)-(B70+6)&lt;0,(B70+6+B71) - (COLUMN()-2) &lt;0),"",H68*(1-B69)/(B71+1)*B68)</f>
        <v/>
      </c>
      <c r="N77" s="50" t="str">
        <f>IF(OR(NOT(H68),(COLUMN()-3)-(B70+6)&lt;0,(B70+6+B71) - (COLUMN()-2) &lt;0),"",H68*(1-B69)/(B71+1)*B68)</f>
        <v/>
      </c>
      <c r="O77" s="55" t="str">
        <f>IF(OR(NOT(H68),(COLUMN()-3)-(B70+6)&lt;0,(B70+6+B71) - (COLUMN()-2) &lt;0),"",H68*(1-B69)/(B71+1)*B68)</f>
        <v/>
      </c>
      <c r="P77" s="55" t="str">
        <f>IF(OR(NOT(H68),(COLUMN()-3)-(B70+6)&lt;0,(B70+6+B71) - (COLUMN()-2) &lt;0),"",H68*(1-B69)/(B71+1)*B68)</f>
        <v/>
      </c>
      <c r="Q77" s="55" t="str">
        <f>IF(OR(NOT(H68),(COLUMN()-3)-(B70+6)&lt;0,(B70+6+B71) - (COLUMN()-2) &lt;0),"",H68*(1-B69)/(B71+1)*B68)</f>
        <v/>
      </c>
      <c r="R77" s="55" t="str">
        <f>IF(OR(NOT(H68),(COLUMN()-3)-(B70+6)&lt;0,(B70+6+B71) - (COLUMN()-2) &lt;0),"",H68*(1-B69)/(B71+1)*B68)</f>
        <v/>
      </c>
      <c r="S77" s="55" t="str">
        <f>IF(OR(NOT(H68),(COLUMN()-3)-(B70+6)&lt;0,(B70+6+B71) - (COLUMN()-2) &lt;0),"",H68*(1-B69)/(B71+1)*B68)</f>
        <v/>
      </c>
      <c r="T77" s="55" t="str">
        <f>IF(OR(NOT(H68),(COLUMN()-3)-(B70+6)&lt;0,(B70+6+B71) - (COLUMN()-2) &lt;0),"",H68*(1-B69)/(B71+1)*B68)</f>
        <v/>
      </c>
      <c r="U77" s="55" t="str">
        <f>IF(OR(NOT(H68),(COLUMN()-3)-(B70+6)&lt;0,(B70+6+B71) - (COLUMN()-2) &lt;0),"",H68*(1-B69)/(B71+1)*B68)</f>
        <v/>
      </c>
      <c r="V77" s="55" t="str">
        <f>IF(OR(NOT(H68),(COLUMN()-3)-(B70+6)&lt;0,(B70+6+B71) - (COLUMN()-2) &lt;0),"",H68*(1-B69)/(B71+1)*B68)</f>
        <v/>
      </c>
      <c r="W77" s="55" t="str">
        <f>IF(OR(NOT(H68),(COLUMN()-3)-(B70+6)&lt;0,(B70+6+B71) - (COLUMN()-2) &lt;0),"",H68*(1-B69)/(B71+1)*B68)</f>
        <v/>
      </c>
      <c r="X77" s="55" t="str">
        <f>IF(OR(NOT(H68),(COLUMN()-3)-(B70+6)&lt;0,(B70+6+B71) - (COLUMN()-2) &lt;0),"",H68*(1-B69)/(B71+1)*B68)</f>
        <v/>
      </c>
      <c r="Y77" s="55" t="str">
        <f>IF(OR(NOT(H68),(COLUMN()-3)-(B70+6)&lt;0,(B70+6+B71) - (COLUMN()-2) &lt;0),"",H68*(1-B69)/(B71+1)*B68)</f>
        <v/>
      </c>
      <c r="Z77" s="55" t="str">
        <f>IF(OR(NOT(H68),(COLUMN()-3)-(B70+6)&lt;0,(B70+6+B71) - (COLUMN()-2) &lt;0),"",H68*(1-B69)/(B71+1)*B68)</f>
        <v/>
      </c>
      <c r="AA77" s="56" t="str">
        <f>IF(OR(NOT(H68),(COLUMN()-3)-(B70+6)&lt;0,(B70+6+B71) - (COLUMN()-2) &lt;0),"",H68*(1-B69)/(B71+1)*B68)</f>
        <v/>
      </c>
      <c r="AB77" s="56" t="str">
        <f>IF(OR(NOT(H68),(COLUMN()-3)-(B70+6)&lt;0,(B70+6+B71) - (COLUMN()-2) &lt;0),"",H68*(1-B69)/(B71+1)*B68)</f>
        <v/>
      </c>
      <c r="AC77" s="56" t="str">
        <f>IF(OR(NOT(H68),(COLUMN()-3)-(B70+6)&lt;0,(B70+6+B71) - (COLUMN()-2) &lt;0),"",H68*(1-B69)/(B71+1)*B68)</f>
        <v/>
      </c>
      <c r="AD77" s="56" t="str">
        <f>IF(OR(NOT(H68),(COLUMN()-3)-(B70+6)&lt;0,(B70+6+B71) - (COLUMN()-2) &lt;0),"",H68*(1-B69)/(B71+1)*B68)</f>
        <v/>
      </c>
      <c r="AE77" s="91"/>
      <c r="AF77" s="91"/>
      <c r="AG77" s="91"/>
      <c r="AH77" s="91"/>
      <c r="AI77" s="91"/>
      <c r="AJ77" s="91"/>
    </row>
    <row r="78" spans="1:38" hidden="1">
      <c r="A78" s="91"/>
      <c r="B78" s="91"/>
      <c r="C78" s="91"/>
      <c r="D78" s="91"/>
      <c r="E78" s="91"/>
      <c r="F78" s="91"/>
      <c r="G78" s="91"/>
      <c r="H78" s="91"/>
      <c r="I78" s="91"/>
      <c r="J78" s="50" t="str">
        <f>IF(OR(NOT(I68),(COLUMN()-3)-(B70+7)&lt;0,(B70+7+B71) - (COLUMN()-2) &lt;0),"",I68*(1-B69)/(B71+1)*B68)</f>
        <v/>
      </c>
      <c r="K78" s="50" t="str">
        <f>IF(OR(NOT(I68),(COLUMN()-3)-(B70+7)&lt;0,(B70+7+B71) - (COLUMN()-2) &lt;0),"",I68*(1-B69)/(B71+1)*B68)</f>
        <v/>
      </c>
      <c r="L78" s="50" t="str">
        <f>IF(OR(NOT(I68),(COLUMN()-3)-(B70+7)&lt;0,(B70+7+B71) - (COLUMN()-2) &lt;0),"",I68*(1-B69)/(B71+1)*B68)</f>
        <v/>
      </c>
      <c r="M78" s="50" t="str">
        <f>IF(OR(NOT(I68),(COLUMN()-3)-(B70+7)&lt;0,(B70+7+B71) - (COLUMN()-2) &lt;0),"",I68*(1-B69)/(B71+1)*B68)</f>
        <v/>
      </c>
      <c r="N78" s="50" t="str">
        <f>IF(OR(NOT(I68),(COLUMN()-3)-(B70+7)&lt;0,(B70+7+B71) - (COLUMN()-2) &lt;0),"",I68*(1-B69)/(B71+1)*B68)</f>
        <v/>
      </c>
      <c r="O78" s="55" t="str">
        <f>IF(OR(NOT(I68),(COLUMN()-3)-(B70+7)&lt;0,(B70+7+B71) - (COLUMN()-2) &lt;0),"",I68*(1-B69)/(B71+1)*B68)</f>
        <v/>
      </c>
      <c r="P78" s="55" t="str">
        <f>IF(OR(NOT(I68),(COLUMN()-3)-(B70+7)&lt;0,(B70+7+B71) - (COLUMN()-2) &lt;0),"",I68*(1-B69)/(B71+1)*B68)</f>
        <v/>
      </c>
      <c r="Q78" s="55" t="str">
        <f>IF(OR(NOT(I68),(COLUMN()-3)-(B70+7)&lt;0,(B70+7+B71) - (COLUMN()-2) &lt;0),"",I68*(1-B69)/(B71+1)*B68)</f>
        <v/>
      </c>
      <c r="R78" s="55" t="str">
        <f>IF(OR(NOT(I68),(COLUMN()-3)-(B70+7)&lt;0,(B70+7+B71) - (COLUMN()-2) &lt;0),"",I68*(1-B69)/(B71+1)*B68)</f>
        <v/>
      </c>
      <c r="S78" s="55" t="str">
        <f>IF(OR(NOT(I68),(COLUMN()-3)-(B70+7)&lt;0,(B70+7+B71) - (COLUMN()-2) &lt;0),"",I68*(1-B69)/(B71+1)*B68)</f>
        <v/>
      </c>
      <c r="T78" s="55" t="str">
        <f>IF(OR(NOT(I68),(COLUMN()-3)-(B70+7)&lt;0,(B70+7+B71) - (COLUMN()-2) &lt;0),"",I68*(1-B69)/(B71+1)*B68)</f>
        <v/>
      </c>
      <c r="U78" s="55" t="str">
        <f>IF(OR(NOT(I68),(COLUMN()-3)-(B70+7)&lt;0,(B70+7+B71) - (COLUMN()-2) &lt;0),"",I68*(1-B69)/(B71+1)*B68)</f>
        <v/>
      </c>
      <c r="V78" s="55" t="str">
        <f>IF(OR(NOT(I68),(COLUMN()-3)-(B70+7)&lt;0,(B70+7+B71) - (COLUMN()-2) &lt;0),"",I68*(1-B69)/(B71+1)*B68)</f>
        <v/>
      </c>
      <c r="W78" s="55" t="str">
        <f>IF(OR(NOT(I68),(COLUMN()-3)-(B70+7)&lt;0,(B70+7+B71) - (COLUMN()-2) &lt;0),"",I68*(1-B69)/(B71+1)*B68)</f>
        <v/>
      </c>
      <c r="X78" s="55" t="str">
        <f>IF(OR(NOT(I68),(COLUMN()-3)-(B70+7)&lt;0,(B70+7+B71) - (COLUMN()-2) &lt;0),"",I68*(1-B69)/(B71+1)*B68)</f>
        <v/>
      </c>
      <c r="Y78" s="55" t="str">
        <f>IF(OR(NOT(I68),(COLUMN()-3)-(B70+7)&lt;0,(B70+7+B71) - (COLUMN()-2) &lt;0),"",I68*(1-B69)/(B71+1)*B68)</f>
        <v/>
      </c>
      <c r="Z78" s="55" t="str">
        <f>IF(OR(NOT(I68),(COLUMN()-3)-(B70+7)&lt;0,(B70+7+B71) - (COLUMN()-2) &lt;0),"",I68*(1-B69)/(B71+1)*B68)</f>
        <v/>
      </c>
      <c r="AA78" s="56" t="str">
        <f>IF(OR(NOT(I68),(COLUMN()-3)-(B70+7)&lt;0,(B70+7+B71) - (COLUMN()-2) &lt;0),"",I68*(1-B69)/(B71+1)*B68)</f>
        <v/>
      </c>
      <c r="AB78" s="56" t="str">
        <f>IF(OR(NOT(I68),(COLUMN()-3)-(B70+7)&lt;0,(B70+7+B71) - (COLUMN()-2) &lt;0),"",I68*(1-B69)/(B71+1)*B68)</f>
        <v/>
      </c>
      <c r="AC78" s="56" t="str">
        <f>IF(OR(NOT(I68),(COLUMN()-3)-(B70+7)&lt;0,(B70+7+B71) - (COLUMN()-2) &lt;0),"",I68*(1-B69)/(B71+1)*B68)</f>
        <v/>
      </c>
      <c r="AD78" s="56" t="str">
        <f>IF(OR(NOT(I68),(COLUMN()-3)-(B70+7)&lt;0,(B70+7+B71) - (COLUMN()-2) &lt;0),"",I68*(1-B69)/(B71+1)*B68)</f>
        <v/>
      </c>
      <c r="AE78" s="56" t="str">
        <f>IF(OR(NOT(I68),(COLUMN()-3)-(B70+7)&lt;0,(B70+7+B71) - (COLUMN()-2) &lt;0),"",I68*(1-B69)/(B71+1)*B68)</f>
        <v/>
      </c>
      <c r="AF78" s="91"/>
      <c r="AG78" s="91"/>
      <c r="AH78" s="91"/>
      <c r="AI78" s="91"/>
      <c r="AJ78" s="91"/>
    </row>
    <row r="79" spans="1:38" hidden="1">
      <c r="A79" s="91"/>
      <c r="B79" s="91"/>
      <c r="C79" s="91"/>
      <c r="D79" s="91"/>
      <c r="E79" s="91"/>
      <c r="F79" s="91"/>
      <c r="G79" s="91"/>
      <c r="H79" s="91"/>
      <c r="I79" s="91"/>
      <c r="J79" s="91"/>
      <c r="K79" s="50" t="str">
        <f>IF(OR(NOT(J68),(COLUMN()-3)-(B70+8)&lt;0,(B70+8+B71) - (COLUMN()-2) &lt;0),"",J68*(1-B69)/(B71+1)*B68)</f>
        <v/>
      </c>
      <c r="L79" s="50" t="str">
        <f>IF(OR(NOT(J68),(COLUMN()-3)-(B70+8)&lt;0,(B70+8+B71) - (COLUMN()-2) &lt;0),"",J68*(1-B69)/(B71+1)*B68)</f>
        <v/>
      </c>
      <c r="M79" s="50" t="str">
        <f>IF(OR(NOT(J68),(COLUMN()-3)-(B70+8)&lt;0,(B70+8+B71) - (COLUMN()-2) &lt;0),"",J68*(1-B69)/(B71+1)*B68)</f>
        <v/>
      </c>
      <c r="N79" s="50" t="str">
        <f>IF(OR(NOT(J68),(COLUMN()-3)-(B70+8)&lt;0,(B70+8+B71) - (COLUMN()-2) &lt;0),"",J68*(1-B69)/(B71+1)*B68)</f>
        <v/>
      </c>
      <c r="O79" s="55" t="str">
        <f>IF(OR(NOT(J68),(COLUMN()-3)-(B70+8)&lt;0,(B70+8+B71) - (COLUMN()-2) &lt;0),"",J68*(1-B69)/(B71+1)*B68)</f>
        <v/>
      </c>
      <c r="P79" s="55" t="str">
        <f>IF(OR(NOT(J68),(COLUMN()-3)-(B70+8)&lt;0,(B70+8+B71) - (COLUMN()-2) &lt;0),"",J68*(1-B69)/(B71+1)*B68)</f>
        <v/>
      </c>
      <c r="Q79" s="55" t="str">
        <f>IF(OR(NOT(J68),(COLUMN()-3)-(B70+8)&lt;0,(B70+8+B71) - (COLUMN()-2) &lt;0),"",J68*(1-B69)/(B71+1)*B68)</f>
        <v/>
      </c>
      <c r="R79" s="55" t="str">
        <f>IF(OR(NOT(J68),(COLUMN()-3)-(B70+8)&lt;0,(B70+8+B71) - (COLUMN()-2) &lt;0),"",J68*(1-B69)/(B71+1)*B68)</f>
        <v/>
      </c>
      <c r="S79" s="55" t="str">
        <f>IF(OR(NOT(J68),(COLUMN()-3)-(B70+8)&lt;0,(B70+8+B71) - (COLUMN()-2) &lt;0),"",J68*(1-B69)/(B71+1)*B68)</f>
        <v/>
      </c>
      <c r="T79" s="55" t="str">
        <f>IF(OR(NOT(J68),(COLUMN()-3)-(B70+8)&lt;0,(B70+8+B71) - (COLUMN()-2) &lt;0),"",J68*(1-B69)/(B71+1)*B68)</f>
        <v/>
      </c>
      <c r="U79" s="55" t="str">
        <f>IF(OR(NOT(J68),(COLUMN()-3)-(B70+8)&lt;0,(B70+8+B71) - (COLUMN()-2) &lt;0),"",J68*(1-B69)/(B71+1)*B68)</f>
        <v/>
      </c>
      <c r="V79" s="55" t="str">
        <f>IF(OR(NOT(J68),(COLUMN()-3)-(B70+8)&lt;0,(B70+8+B71) - (COLUMN()-2) &lt;0),"",J68*(1-B69)/(B71+1)*B68)</f>
        <v/>
      </c>
      <c r="W79" s="55" t="str">
        <f>IF(OR(NOT(J68),(COLUMN()-3)-(B70+8)&lt;0,(B70+8+B71) - (COLUMN()-2) &lt;0),"",J68*(1-B69)/(B71+1)*B68)</f>
        <v/>
      </c>
      <c r="X79" s="55" t="str">
        <f>IF(OR(NOT(J68),(COLUMN()-3)-(B70+8)&lt;0,(B70+8+B71) - (COLUMN()-2) &lt;0),"",J68*(1-B69)/(B71+1)*B68)</f>
        <v/>
      </c>
      <c r="Y79" s="55" t="str">
        <f>IF(OR(NOT(J68),(COLUMN()-3)-(B70+8)&lt;0,(B70+8+B71) - (COLUMN()-2) &lt;0),"",J68*(1-B69)/(B71+1)*B68)</f>
        <v/>
      </c>
      <c r="Z79" s="55" t="str">
        <f>IF(OR(NOT(J68),(COLUMN()-3)-(B70+8)&lt;0,(B70+8+B71) - (COLUMN()-2) &lt;0),"",J68*(1-B69)/(B71+1)*B68)</f>
        <v/>
      </c>
      <c r="AA79" s="56" t="str">
        <f>IF(OR(NOT(J68),(COLUMN()-3)-(B70+8)&lt;0,(B70+8+B71) - (COLUMN()-2) &lt;0),"",J68*(1-B69)/(B71+1)*B68)</f>
        <v/>
      </c>
      <c r="AB79" s="56" t="str">
        <f>IF(OR(NOT(J68),(COLUMN()-3)-(B70+8)&lt;0,(B70+8+B71) - (COLUMN()-2) &lt;0),"",J68*(1-B69)/(B71+1)*B68)</f>
        <v/>
      </c>
      <c r="AC79" s="56" t="str">
        <f>IF(OR(NOT(J68),(COLUMN()-3)-(B70+8)&lt;0,(B70+8+B71) - (COLUMN()-2) &lt;0),"",J68*(1-B69)/(B71+1)*B68)</f>
        <v/>
      </c>
      <c r="AD79" s="56" t="str">
        <f>IF(OR(NOT(J68),(COLUMN()-3)-(B70+8)&lt;0,(B70+8+B71) - (COLUMN()-2) &lt;0),"",J68*(1-B69)/(B71+1)*B68)</f>
        <v/>
      </c>
      <c r="AE79" s="56" t="str">
        <f>IF(OR(NOT(J68),(COLUMN()-3)-(B70+8)&lt;0,(B70+8+B71) - (COLUMN()-2) &lt;0),"",J68*(1-B69)/(B71+1)*B68)</f>
        <v/>
      </c>
      <c r="AF79" s="56" t="str">
        <f>IF(OR(NOT(J68),(COLUMN()-3)-(B70+8)&lt;0,(B70+8+B71) - (COLUMN()-2) &lt;0),"",J68*(1-B69)/(B71+1)*B68)</f>
        <v/>
      </c>
      <c r="AG79" s="91"/>
      <c r="AH79" s="91"/>
      <c r="AI79" s="91"/>
      <c r="AJ79" s="91"/>
    </row>
    <row r="80" spans="1:38" hidden="1">
      <c r="A80" s="91"/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50" t="str">
        <f>IF(OR(NOT(K68),(COLUMN()-3)-(B70+9)&lt;0,(B70+9+B71) - (COLUMN()-2) &lt;0),"",K68*(1-B69)/(B71+1)*B68)</f>
        <v/>
      </c>
      <c r="M80" s="50" t="str">
        <f>IF(OR(NOT(K68),(COLUMN()-3)-(B70+9)&lt;0,(B70+9+B71) - (COLUMN()-2) &lt;0),"",K68*(1-B69)/(B71+1)*B68)</f>
        <v/>
      </c>
      <c r="N80" s="50" t="str">
        <f>IF(OR(NOT(K68),(COLUMN()-3)-(B70+9)&lt;0,(B70+9+B71) - (COLUMN()-2) &lt;0),"",K68*(1-B69)/(B71+1)*B68)</f>
        <v/>
      </c>
      <c r="O80" s="55" t="str">
        <f>IF(OR(NOT(K68),(COLUMN()-3)-(B70+9)&lt;0,(B70+9+B71) - (COLUMN()-2) &lt;0),"",K68*(1-B69)/(B71+1)*B68)</f>
        <v/>
      </c>
      <c r="P80" s="55" t="str">
        <f>IF(OR(NOT(K68),(COLUMN()-3)-(B70+9)&lt;0,(B70+9+B71) - (COLUMN()-2) &lt;0),"",K68*(1-B69)/(B71+1)*B68)</f>
        <v/>
      </c>
      <c r="Q80" s="55" t="str">
        <f>IF(OR(NOT(K68),(COLUMN()-3)-(B70+9)&lt;0,(B70+9+B71) - (COLUMN()-2) &lt;0),"",K68*(1-B69)/(B71+1)*B68)</f>
        <v/>
      </c>
      <c r="R80" s="55" t="str">
        <f>IF(OR(NOT(K68),(COLUMN()-3)-(B70+9)&lt;0,(B70+9+B71) - (COLUMN()-2) &lt;0),"",K68*(1-B69)/(B71+1)*B68)</f>
        <v/>
      </c>
      <c r="S80" s="55" t="str">
        <f>IF(OR(NOT(K68),(COLUMN()-3)-(B70+9)&lt;0,(B70+9+B71) - (COLUMN()-2) &lt;0),"",K68*(1-B69)/(B71+1)*B68)</f>
        <v/>
      </c>
      <c r="T80" s="55" t="str">
        <f>IF(OR(NOT(K68),(COLUMN()-3)-(B70+9)&lt;0,(B70+9+B71) - (COLUMN()-2) &lt;0),"",K68*(1-B69)/(B71+1)*B68)</f>
        <v/>
      </c>
      <c r="U80" s="55" t="str">
        <f>IF(OR(NOT(K68),(COLUMN()-3)-(B70+9)&lt;0,(B70+9+B71) - (COLUMN()-2) &lt;0),"",K68*(1-B69)/(B71+1)*B68)</f>
        <v/>
      </c>
      <c r="V80" s="55" t="str">
        <f>IF(OR(NOT(K68),(COLUMN()-3)-(B70+9)&lt;0,(B70+9+B71) - (COLUMN()-2) &lt;0),"",K68*(1-B69)/(B71+1)*B68)</f>
        <v/>
      </c>
      <c r="W80" s="55" t="str">
        <f>IF(OR(NOT(K68),(COLUMN()-3)-(B70+9)&lt;0,(B70+9+B71) - (COLUMN()-2) &lt;0),"",K68*(1-B69)/(B71+1)*B68)</f>
        <v/>
      </c>
      <c r="X80" s="55" t="str">
        <f>IF(OR(NOT(K68),(COLUMN()-3)-(B70+9)&lt;0,(B70+9+B71) - (COLUMN()-2) &lt;0),"",K68*(1-B69)/(B71+1)*B68)</f>
        <v/>
      </c>
      <c r="Y80" s="55" t="str">
        <f>IF(OR(NOT(K68),(COLUMN()-3)-(B70+9)&lt;0,(B70+9+B71) - (COLUMN()-2) &lt;0),"",K68*(1-B69)/(B71+1)*B68)</f>
        <v/>
      </c>
      <c r="Z80" s="55" t="str">
        <f>IF(OR(NOT(K68),(COLUMN()-3)-(B70+9)&lt;0,(B70+9+B71) - (COLUMN()-2) &lt;0),"",K68*(1-B69)/(B71+1)*B68)</f>
        <v/>
      </c>
      <c r="AA80" s="56" t="str">
        <f>IF(OR(NOT(K68),(COLUMN()-3)-(B70+9)&lt;0,(B70+9+B71) - (COLUMN()-2) &lt;0),"",K68*(1-B69)/(B71+1)*B68)</f>
        <v/>
      </c>
      <c r="AB80" s="56" t="str">
        <f>IF(OR(NOT(K68),(COLUMN()-3)-(B70+9)&lt;0,(B70+9+B71) - (COLUMN()-2) &lt;0),"",K68*(1-B69)/(B71+1)*B68)</f>
        <v/>
      </c>
      <c r="AC80" s="56" t="str">
        <f>IF(OR(NOT(K68),(COLUMN()-3)-(B70+9)&lt;0,(B70+9+B71) - (COLUMN()-2) &lt;0),"",K68*(1-B69)/(B71+1)*B68)</f>
        <v/>
      </c>
      <c r="AD80" s="56" t="str">
        <f>IF(OR(NOT(K68),(COLUMN()-3)-(B70+9)&lt;0,(B70+9+B71) - (COLUMN()-2) &lt;0),"",K68*(1-B69)/(B71+1)*B68)</f>
        <v/>
      </c>
      <c r="AE80" s="56" t="str">
        <f>IF(OR(NOT(K68),(COLUMN()-3)-(B70+9)&lt;0,(B70+9+B71) - (COLUMN()-2) &lt;0),"",K68*(1-B69)/(B71+1)*B68)</f>
        <v/>
      </c>
      <c r="AF80" s="56" t="str">
        <f>IF(OR(NOT(K68),(COLUMN()-3)-(B70+9)&lt;0,(B70+9+B71) - (COLUMN()-2) &lt;0),"",K68*(1-B69)/(B71+1)*B68)</f>
        <v/>
      </c>
      <c r="AG80" s="56" t="str">
        <f>IF(OR(NOT(K68),(COLUMN()-3)-(B70+9)&lt;0,(B70+9+B71) - (COLUMN()-2) &lt;0),"",K68*(1-B69)/(B71+1)*B68)</f>
        <v/>
      </c>
      <c r="AH80" s="91"/>
      <c r="AI80" s="91"/>
      <c r="AJ80" s="91"/>
    </row>
    <row r="81" spans="1:38" hidden="1">
      <c r="A81" s="91"/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50" t="str">
        <f>IF(OR(NOT(L68),(COLUMN()-3)-(B70+10)&lt;0,(B70+10+B71) - (COLUMN()-2) &lt;0),"",L68*(1-B69)/(B71+1)*B68)</f>
        <v/>
      </c>
      <c r="N81" s="50" t="str">
        <f>IF(OR(NOT(L68),(COLUMN()-3)-(B70+10)&lt;0,(B70+10+B71) - (COLUMN()-2) &lt;0),"",L68*(1-B69)/(B71+1)*B68)</f>
        <v/>
      </c>
      <c r="O81" s="55" t="str">
        <f>IF(OR(NOT(L68),(COLUMN()-3)-(B70+10)&lt;0,(B70+10+B71) - (COLUMN()-2) &lt;0),"",L68*(1-B69)/(B71+1)*B68)</f>
        <v/>
      </c>
      <c r="P81" s="55" t="str">
        <f>IF(OR(NOT(L68),(COLUMN()-3)-(B70+10)&lt;0,(B70+10+B71) - (COLUMN()-2) &lt;0),"",L68*(1-B69)/(B71+1)*B68)</f>
        <v/>
      </c>
      <c r="Q81" s="55" t="str">
        <f>IF(OR(NOT(L68),(COLUMN()-3)-(B70+10)&lt;0,(B70+10+B71) - (COLUMN()-2) &lt;0),"",L68*(1-B69)/(B71+1)*B68)</f>
        <v/>
      </c>
      <c r="R81" s="55" t="str">
        <f>IF(OR(NOT(L68),(COLUMN()-3)-(B70+10)&lt;0,(B70+10+B71) - (COLUMN()-2) &lt;0),"",L68*(1-B69)/(B71+1)*B68)</f>
        <v/>
      </c>
      <c r="S81" s="55" t="str">
        <f>IF(OR(NOT(L68),(COLUMN()-3)-(B70+10)&lt;0,(B70+10+B71) - (COLUMN()-2) &lt;0),"",L68*(1-B69)/(B71+1)*B68)</f>
        <v/>
      </c>
      <c r="T81" s="55" t="str">
        <f>IF(OR(NOT(L68),(COLUMN()-3)-(B70+10)&lt;0,(B70+10+B71) - (COLUMN()-2) &lt;0),"",L68*(1-B69)/(B71+1)*B68)</f>
        <v/>
      </c>
      <c r="U81" s="55" t="str">
        <f>IF(OR(NOT(L68),(COLUMN()-3)-(B70+10)&lt;0,(B70+10+B71) - (COLUMN()-2) &lt;0),"",L68*(1-B69)/(B71+1)*B68)</f>
        <v/>
      </c>
      <c r="V81" s="55" t="str">
        <f>IF(OR(NOT(L68),(COLUMN()-3)-(B70+10)&lt;0,(B70+10+B71) - (COLUMN()-2) &lt;0),"",L68*(1-B69)/(B71+1)*B68)</f>
        <v/>
      </c>
      <c r="W81" s="55" t="str">
        <f>IF(OR(NOT(L68),(COLUMN()-3)-(B70+10)&lt;0,(B70+10+B71) - (COLUMN()-2) &lt;0),"",L68*(1-B69)/(B71+1)*B68)</f>
        <v/>
      </c>
      <c r="X81" s="55" t="str">
        <f>IF(OR(NOT(L68),(COLUMN()-3)-(B70+10)&lt;0,(B70+10+B71) - (COLUMN()-2) &lt;0),"",L68*(1-B69)/(B71+1)*B68)</f>
        <v/>
      </c>
      <c r="Y81" s="55" t="str">
        <f>IF(OR(NOT(L68),(COLUMN()-3)-(B70+10)&lt;0,(B70+10+B71) - (COLUMN()-2) &lt;0),"",L68*(1-B69)/(B71+1)*B68)</f>
        <v/>
      </c>
      <c r="Z81" s="55" t="str">
        <f>IF(OR(NOT(L68),(COLUMN()-3)-(B70+10)&lt;0,(B70+10+B71) - (COLUMN()-2) &lt;0),"",L68*(1-B69)/(B71+1)*B68)</f>
        <v/>
      </c>
      <c r="AA81" s="56" t="str">
        <f>IF(OR(NOT(L68),(COLUMN()-3)-(B70+10)&lt;0,(B70+10+B71) - (COLUMN()-2) &lt;0),"",L68*(1-B69)/(B71+1)*B68)</f>
        <v/>
      </c>
      <c r="AB81" s="56" t="str">
        <f>IF(OR(NOT(L68),(COLUMN()-3)-(B70+10)&lt;0,(B70+10+B71) - (COLUMN()-2) &lt;0),"",L68*(1-B69)/(B71+1)*B68)</f>
        <v/>
      </c>
      <c r="AC81" s="56" t="str">
        <f>IF(OR(NOT(L68),(COLUMN()-3)-(B70+10)&lt;0,(B70+10+B71) - (COLUMN()-2) &lt;0),"",L68*(1-B69)/(B71+1)*B68)</f>
        <v/>
      </c>
      <c r="AD81" s="56" t="str">
        <f>IF(OR(NOT(L68),(COLUMN()-3)-(B70+10)&lt;0,(B70+10+B71) - (COLUMN()-2) &lt;0),"",L68*(1-B69)/(B71+1)*B68)</f>
        <v/>
      </c>
      <c r="AE81" s="56" t="str">
        <f>IF(OR(NOT(L68),(COLUMN()-3)-(B70+10)&lt;0,(B70+10+B71) - (COLUMN()-2) &lt;0),"",L68*(1-B69)/(B71+1)*B68)</f>
        <v/>
      </c>
      <c r="AF81" s="56" t="str">
        <f>IF(OR(NOT(L68),(COLUMN()-3)-(B70+10)&lt;0,(B70+10+B71) - (COLUMN()-2) &lt;0),"",L68*(1-B69)/(B71+1)*B68)</f>
        <v/>
      </c>
      <c r="AG81" s="56" t="str">
        <f>IF(OR(NOT(L68),(COLUMN()-3)-(B70+10)&lt;0,(B70+10+B71) - (COLUMN()-2) &lt;0),"",L68*(1-B69)/(B71+1)*B68)</f>
        <v/>
      </c>
      <c r="AH81" s="56" t="str">
        <f>IF(OR(NOT(L68),(COLUMN()-3)-(B70+10)&lt;0,(B70+10+B71) - (COLUMN()-2) &lt;0),"",L68*(1-B69)/(B71+1)*B68)</f>
        <v/>
      </c>
      <c r="AI81" s="91"/>
      <c r="AJ81" s="91"/>
    </row>
    <row r="82" spans="1:38" hidden="1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50" t="str">
        <f>IF(OR(NOT(M68),(COLUMN()-3)-(B70+11)&lt;0,(B70+11+B71) - (COLUMN()-2) &lt;0),"",M68*(1-B69)/(B71+1)*B68)</f>
        <v/>
      </c>
      <c r="O82" s="55" t="str">
        <f>IF(OR(NOT(M68),(COLUMN()-3)-(B70+11)&lt;0,(B70+11+B71) - (COLUMN()-2) &lt;0),"",M68*(1-B69)/(B71+1)*B68)</f>
        <v/>
      </c>
      <c r="P82" s="55" t="str">
        <f>IF(OR(NOT(M68),(COLUMN()-3)-(B70+11)&lt;0,(B70+11+B71) - (COLUMN()-2) &lt;0),"",M68*(1-B69)/(B71+1)*B68)</f>
        <v/>
      </c>
      <c r="Q82" s="55" t="str">
        <f>IF(OR(NOT(M68),(COLUMN()-3)-(B70+11)&lt;0,(B70+11+B71) - (COLUMN()-2) &lt;0),"",M68*(1-B69)/(B71+1)*B68)</f>
        <v/>
      </c>
      <c r="R82" s="55" t="str">
        <f>IF(OR(NOT(M68),(COLUMN()-3)-(B70+11)&lt;0,(B70+11+B71) - (COLUMN()-2) &lt;0),"",M68*(1-B69)/(B71+1)*B68)</f>
        <v/>
      </c>
      <c r="S82" s="55" t="str">
        <f>IF(OR(NOT(M68),(COLUMN()-3)-(B70+11)&lt;0,(B70+11+B71) - (COLUMN()-2) &lt;0),"",M68*(1-B69)/(B71+1)*B68)</f>
        <v/>
      </c>
      <c r="T82" s="55" t="str">
        <f>IF(OR(NOT(M68),(COLUMN()-3)-(B70+11)&lt;0,(B70+11+B71) - (COLUMN()-2) &lt;0),"",M68*(1-B69)/(B71+1)*B68)</f>
        <v/>
      </c>
      <c r="U82" s="55" t="str">
        <f>IF(OR(NOT(M68),(COLUMN()-3)-(B70+11)&lt;0,(B70+11+B71) - (COLUMN()-2) &lt;0),"",M68*(1-B69)/(B71+1)*B68)</f>
        <v/>
      </c>
      <c r="V82" s="55" t="str">
        <f>IF(OR(NOT(M68),(COLUMN()-3)-(B70+11)&lt;0,(B70+11+B71) - (COLUMN()-2) &lt;0),"",M68*(1-B69)/(B71+1)*B68)</f>
        <v/>
      </c>
      <c r="W82" s="55" t="str">
        <f>IF(OR(NOT(M68),(COLUMN()-3)-(B70+11)&lt;0,(B70+11+B71) - (COLUMN()-2) &lt;0),"",M68*(1-B69)/(B71+1)*B68)</f>
        <v/>
      </c>
      <c r="X82" s="55" t="str">
        <f>IF(OR(NOT(M68),(COLUMN()-3)-(B70+11)&lt;0,(B70+11+B71) - (COLUMN()-2) &lt;0),"",M68*(1-B69)/(B71+1)*B68)</f>
        <v/>
      </c>
      <c r="Y82" s="55" t="str">
        <f>IF(OR(NOT(M68),(COLUMN()-3)-(B70+11)&lt;0,(B70+11+B71) - (COLUMN()-2) &lt;0),"",M68*(1-B69)/(B71+1)*B68)</f>
        <v/>
      </c>
      <c r="Z82" s="55" t="str">
        <f>IF(OR(NOT(M68),(COLUMN()-3)-(B70+11)&lt;0,(B70+11+B71) - (COLUMN()-2) &lt;0),"",M68*(1-B69)/(B71+1)*B68)</f>
        <v/>
      </c>
      <c r="AA82" s="56" t="str">
        <f>IF(OR(NOT(M68),(COLUMN()-3)-(B70+11)&lt;0,(B70+11+B71) - (COLUMN()-2) &lt;0),"",M68*(1-B69)/(B71+1)*B68)</f>
        <v/>
      </c>
      <c r="AB82" s="56" t="str">
        <f>IF(OR(NOT(M68),(COLUMN()-3)-(B70+11)&lt;0,(B70+11+B71) - (COLUMN()-2) &lt;0),"",M68*(1-B69)/(B71+1)*B68)</f>
        <v/>
      </c>
      <c r="AC82" s="56" t="str">
        <f>IF(OR(NOT(M68),(COLUMN()-3)-(B70+11)&lt;0,(B70+11+B71) - (COLUMN()-2) &lt;0),"",M68*(1-B69)/(B71+1)*B68)</f>
        <v/>
      </c>
      <c r="AD82" s="56" t="str">
        <f>IF(OR(NOT(M68),(COLUMN()-3)-(B70+11)&lt;0,(B70+11+B71) - (COLUMN()-2) &lt;0),"",M68*(1-B69)/(B71+1)*B68)</f>
        <v/>
      </c>
      <c r="AE82" s="56" t="str">
        <f>IF(OR(NOT(M68),(COLUMN()-3)-(B70+11)&lt;0,(B70+11+B71) - (COLUMN()-2) &lt;0),"",M68*(1-B69)/(B71+1)*B68)</f>
        <v/>
      </c>
      <c r="AF82" s="56" t="str">
        <f>IF(OR(NOT(M68),(COLUMN()-3)-(B70+11)&lt;0,(B70+11+B71) - (COLUMN()-2) &lt;0),"",M68*(1-B69)/(B71+1)*B68)</f>
        <v/>
      </c>
      <c r="AG82" s="56" t="str">
        <f>IF(OR(NOT(M68),(COLUMN()-3)-(B70+11)&lt;0,(B70+11+B71) - (COLUMN()-2) &lt;0),"",M68*(1-B69)/(B71+1)*B68)</f>
        <v/>
      </c>
      <c r="AH82" s="56" t="str">
        <f>IF(OR(NOT(M68),(COLUMN()-3)-(B70+11)&lt;0,(B70+11+B71) - (COLUMN()-2) &lt;0),"",M68*(1-B69)/(B71+1)*B68)</f>
        <v/>
      </c>
      <c r="AI82" s="56" t="str">
        <f>IF(OR(NOT(M68),(COLUMN()-3)-(B70+11)&lt;0,(B70+11+B71) - (COLUMN()-2) &lt;0),"",M68*(1-B69)/(B71+1)*B68)</f>
        <v/>
      </c>
      <c r="AJ82" s="91"/>
    </row>
    <row r="83" spans="1:38" hidden="1">
      <c r="A83" s="91"/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55" t="str">
        <f>IF(OR(NOT(N68),(COLUMN()-3)-(B70+12)&lt;0,(B70+12+B71) - (COLUMN()-2) &lt;0),"",N68*(1-B69)/(B71+1)*B68)</f>
        <v/>
      </c>
      <c r="P83" s="55" t="str">
        <f>IF(OR(NOT(N68),(COLUMN()-3)-(B70+12)&lt;0,(B70+12+B71) - (COLUMN()-2) &lt;0),"",N68*(1-B69)/(B71+1)*B68)</f>
        <v/>
      </c>
      <c r="Q83" s="55" t="str">
        <f>IF(OR(NOT(N68),(COLUMN()-3)-(B70+12)&lt;0,(B70+12+B71) - (COLUMN()-2) &lt;0),"",N68*(1-B69)/(B71+1)*B68)</f>
        <v/>
      </c>
      <c r="R83" s="55" t="str">
        <f>IF(OR(NOT(N68),(COLUMN()-3)-(B70+12)&lt;0,(B70+12+B71) - (COLUMN()-2) &lt;0),"",N68*(1-B69)/(B71+1)*B68)</f>
        <v/>
      </c>
      <c r="S83" s="55" t="str">
        <f>IF(OR(NOT(N68),(COLUMN()-3)-(B70+12)&lt;0,(B70+12+B71) - (COLUMN()-2) &lt;0),"",N68*(1-B69)/(B71+1)*B68)</f>
        <v/>
      </c>
      <c r="T83" s="55" t="str">
        <f>IF(OR(NOT(N68),(COLUMN()-3)-(B70+12)&lt;0,(B70+12+B71) - (COLUMN()-2) &lt;0),"",N68*(1-B69)/(B71+1)*B68)</f>
        <v/>
      </c>
      <c r="U83" s="55" t="str">
        <f>IF(OR(NOT(N68),(COLUMN()-3)-(B70+12)&lt;0,(B70+12+B71) - (COLUMN()-2) &lt;0),"",N68*(1-B69)/(B71+1)*B68)</f>
        <v/>
      </c>
      <c r="V83" s="55" t="str">
        <f>IF(OR(NOT(N68),(COLUMN()-3)-(B70+12)&lt;0,(B70+12+B71) - (COLUMN()-2) &lt;0),"",N68*(1-B69)/(B71+1)*B68)</f>
        <v/>
      </c>
      <c r="W83" s="55" t="str">
        <f>IF(OR(NOT(N68),(COLUMN()-3)-(B70+12)&lt;0,(B70+12+B71) - (COLUMN()-2) &lt;0),"",N68*(1-B69)/(B71+1)*B68)</f>
        <v/>
      </c>
      <c r="X83" s="55" t="str">
        <f>IF(OR(NOT(N68),(COLUMN()-3)-(B70+12)&lt;0,(B70+12+B71) - (COLUMN()-2) &lt;0),"",N68*(1-B69)/(B71+1)*B68)</f>
        <v/>
      </c>
      <c r="Y83" s="55" t="str">
        <f>IF(OR(NOT(N68),(COLUMN()-3)-(B70+12)&lt;0,(B70+12+B71) - (COLUMN()-2) &lt;0),"",N68*(1-B69)/(B71+1)*B68)</f>
        <v/>
      </c>
      <c r="Z83" s="55" t="str">
        <f>IF(OR(NOT(N68),(COLUMN()-3)-(B70+12)&lt;0,(B70+12+B71) - (COLUMN()-2) &lt;0),"",N68*(1-B69)/(B71+1)*B68)</f>
        <v/>
      </c>
      <c r="AA83" s="56" t="str">
        <f>IF(OR(NOT(N68),(COLUMN()-3)-(B70+12)&lt;0,(B70+12+B71) - (COLUMN()-2) &lt;0),"",N68*(1-B69)/(B71+1)*B68)</f>
        <v/>
      </c>
      <c r="AB83" s="56" t="str">
        <f>IF(OR(NOT(N68),(COLUMN()-3)-(B70+12)&lt;0,(B70+12+B71) - (COLUMN()-2) &lt;0),"",N68*(1-B69)/(B71+1)*B68)</f>
        <v/>
      </c>
      <c r="AC83" s="56" t="str">
        <f>IF(OR(NOT(N68),(COLUMN()-3)-(B70+12)&lt;0,(B70+12+B71) - (COLUMN()-2) &lt;0),"",N68*(1-B69)/(B71+1)*B68)</f>
        <v/>
      </c>
      <c r="AD83" s="56" t="str">
        <f>IF(OR(NOT(N68),(COLUMN()-3)-(B70+12)&lt;0,(B70+12+B71) - (COLUMN()-2) &lt;0),"",N68*(1-B69)/(B71+1)*B68)</f>
        <v/>
      </c>
      <c r="AE83" s="56" t="str">
        <f>IF(OR(NOT(N68),(COLUMN()-3)-(B70+12)&lt;0,(B70+12+B71) - (COLUMN()-2) &lt;0),"",N68*(1-B69)/(B71+1)*B68)</f>
        <v/>
      </c>
      <c r="AF83" s="56" t="str">
        <f>IF(OR(NOT(N68),(COLUMN()-3)-(B70+12)&lt;0,(B70+12+B71) - (COLUMN()-2) &lt;0),"",N68*(1-B69)/(B71+1)*B68)</f>
        <v/>
      </c>
      <c r="AG83" s="56" t="str">
        <f>IF(OR(NOT(N68),(COLUMN()-3)-(B70+12)&lt;0,(B70+12+B71) - (COLUMN()-2) &lt;0),"",N68*(1-B69)/(B71+1)*B68)</f>
        <v/>
      </c>
      <c r="AH83" s="56" t="str">
        <f>IF(OR(NOT(N68),(COLUMN()-3)-(B70+12)&lt;0,(B70+12+B71) - (COLUMN()-2) &lt;0),"",N68*(1-B69)/(B71+1)*B68)</f>
        <v/>
      </c>
      <c r="AI83" s="56" t="str">
        <f>IF(OR(NOT(N68),(COLUMN()-3)-(B70+12)&lt;0,(B70+12+B71) - (COLUMN()-2) &lt;0),"",N68*(1-B69)/(B71+1)*B68)</f>
        <v/>
      </c>
      <c r="AJ83" s="56" t="str">
        <f>IF(OR(NOT(N68),(COLUMN()-3)-(B70+12)&lt;0,(B70+12+B71) - (COLUMN()-2) &lt;0),"",N68*(1-B69)/(B71+1)*B68)</f>
        <v/>
      </c>
    </row>
    <row r="84" spans="1:38">
      <c r="A84" s="90" t="s">
        <v>85</v>
      </c>
      <c r="B84" s="52"/>
      <c r="C84" s="92" t="str">
        <f>IF(-SUM(C69:C70)*B84,-SUM(C69:C70)*B84,"")</f>
        <v/>
      </c>
      <c r="D84" s="92" t="str">
        <f>IF(-SUM(D69:D71)*B84,-SUM(D69:D71)*B84,"")</f>
        <v/>
      </c>
      <c r="E84" s="92" t="str">
        <f>IF(-SUM(E69:E71)*B84,-SUM(E69:E71)*B84,"")</f>
        <v/>
      </c>
      <c r="F84" s="92" t="str">
        <f>IF(-SUM(F69:F71)*B84,-SUM(F69:F71)*B84,"")</f>
        <v/>
      </c>
      <c r="G84" s="92" t="str">
        <f>IF(-SUM(G69:G71)*B84,-SUM(G69:G71)*B84,"")</f>
        <v/>
      </c>
      <c r="H84" s="92" t="str">
        <f>IF(-SUM(H69:H71)*B84,-SUM(H69:H71)*B84,"")</f>
        <v/>
      </c>
      <c r="I84" s="92" t="str">
        <f>IF(-SUM(I69:I71)*B84,-SUM(I69:I71)*B84,"")</f>
        <v/>
      </c>
      <c r="J84" s="92" t="str">
        <f>IF(-SUM(J69:J71)*B84,-SUM(J69:J71)*B84,"")</f>
        <v/>
      </c>
      <c r="K84" s="92" t="str">
        <f>IF(-SUM(K69:K71)*B84,-SUM(K69:K71)*B84,"")</f>
        <v/>
      </c>
      <c r="L84" s="92" t="str">
        <f>IF(-SUM(L69:L71)*B84,-SUM(L69:L71)*B84,"")</f>
        <v/>
      </c>
      <c r="M84" s="92" t="str">
        <f>IF(-SUM(M69:M71)*B84,-SUM(M69:M71)*B84,"")</f>
        <v/>
      </c>
      <c r="N84" s="92" t="str">
        <f>IF(-SUM(N69:N71)*B84,-SUM(N69:N71)*B84,"")</f>
        <v/>
      </c>
      <c r="O84" s="92" t="str">
        <f>IF(-SUM(O70:O71)*B84,-SUM(O70:O71)*B84,"")</f>
        <v/>
      </c>
      <c r="P84" s="92" t="str">
        <f>IF(-SUM(P70:P71)*B84,-SUM(P70:P71)*B84,"")</f>
        <v/>
      </c>
      <c r="Q84" s="92" t="str">
        <f>IF(-SUM(Q70:Q71)*B84,-SUM(Q70:Q71)*B84,"")</f>
        <v/>
      </c>
      <c r="R84" s="92" t="str">
        <f>IF(-SUM(R70:R71)*B84,-SUM(R70:R71)*B84,"")</f>
        <v/>
      </c>
      <c r="S84" s="92" t="str">
        <f>IF(-SUM(S70:S71)*B84,-SUM(S70:S71)*B84,"")</f>
        <v/>
      </c>
      <c r="T84" s="92" t="str">
        <f>IF(-SUM(T70:T71)*B84,-SUM(T70:T71)*B84,"")</f>
        <v/>
      </c>
      <c r="U84" s="92" t="str">
        <f>IF(-SUM(U70:U71)*B84,-SUM(U70:U71)*B84,"")</f>
        <v/>
      </c>
      <c r="V84" s="92" t="str">
        <f>IF(-SUM(V70:V71)*B84,-SUM(V70:V71)*B84,"")</f>
        <v/>
      </c>
      <c r="W84" s="92" t="str">
        <f>IF(-SUM(W70:W71)*B84,-SUM(W70:W71)*B84,"")</f>
        <v/>
      </c>
      <c r="X84" s="92" t="str">
        <f>IF(-SUM(X70:X71)*B84,-SUM(X70:X71)*B84,"")</f>
        <v/>
      </c>
      <c r="Y84" s="92" t="str">
        <f>IF(-SUM(Y70:Y71)*B84,-SUM(Y70:Y71)*B84,"")</f>
        <v/>
      </c>
      <c r="Z84" s="92" t="str">
        <f>IF(-SUM(Z71)*B84,-Z71*B84,"")</f>
        <v/>
      </c>
      <c r="AA84" s="92" t="str">
        <f>IF(-SUM(AA71),-AA71*B84,"")</f>
        <v/>
      </c>
      <c r="AB84" s="92" t="str">
        <f>IF(-SUM(AB71)*B84,-AB71*B84,"")</f>
        <v/>
      </c>
      <c r="AC84" s="92" t="str">
        <f>IF(-SUM(AC71)*B84,-AC71*B84,"")</f>
        <v/>
      </c>
      <c r="AD84" s="92" t="str">
        <f>IF(-SUM(AD71)*B84,-AD71*B84,"")</f>
        <v/>
      </c>
      <c r="AE84" s="92" t="str">
        <f>IF(-SUM(AE71)*B84,-AE71*B84,"")</f>
        <v/>
      </c>
      <c r="AF84" s="92" t="str">
        <f>IF(-SUM(AF71)*B84,-AF71*B84,"")</f>
        <v/>
      </c>
      <c r="AG84" s="92" t="str">
        <f>IF(-SUM(AG71)*B84,-AG71*B84,"")</f>
        <v/>
      </c>
      <c r="AH84" s="92" t="str">
        <f>IF(-SUM(AH71)*B84,-AH71*B84,"")</f>
        <v/>
      </c>
      <c r="AI84" s="92" t="str">
        <f>IF(-SUM(AI71)*B84,-AI71*B84,"")</f>
        <v/>
      </c>
      <c r="AJ84" s="92" t="str">
        <f>IF(-SUM(AJ71)*B84,-AJ71*B84,"")</f>
        <v/>
      </c>
    </row>
    <row r="85" spans="1:38" ht="15" thickBot="1">
      <c r="A85" s="90" t="s">
        <v>86</v>
      </c>
      <c r="B85" s="4"/>
      <c r="C85" s="92" t="str">
        <f>IF(-B85*C68,-B85*C68,"")</f>
        <v/>
      </c>
      <c r="D85" s="92" t="str">
        <f>IF(-B85*D68,-B85*D68,"")</f>
        <v/>
      </c>
      <c r="E85" s="92" t="str">
        <f>IF(-B85*E68,-B85*E68,"")</f>
        <v/>
      </c>
      <c r="F85" s="92" t="str">
        <f>IF(-B85*F68,-B85*F68,"")</f>
        <v/>
      </c>
      <c r="G85" s="92" t="str">
        <f>IF(-B85*G68,-B85*G68,"")</f>
        <v/>
      </c>
      <c r="H85" s="92" t="str">
        <f>IF(-B85*H68,-B85*H68,"")</f>
        <v/>
      </c>
      <c r="I85" s="92" t="str">
        <f>IF(-B85*I68,-B85*I68,"")</f>
        <v/>
      </c>
      <c r="J85" s="92" t="str">
        <f>IF(-B85*J68,-B85*J68,"")</f>
        <v/>
      </c>
      <c r="K85" s="92" t="str">
        <f>IF(-B85*K68,-B85*K68,"")</f>
        <v/>
      </c>
      <c r="L85" s="92" t="str">
        <f>IF(-B85*L68,-B85*L68,"")</f>
        <v/>
      </c>
      <c r="M85" s="92" t="str">
        <f>IF(-B85*M68,-B85*M68,"")</f>
        <v/>
      </c>
      <c r="N85" s="92" t="str">
        <f>IF(-B85*N68,-B85*N68,"")</f>
        <v/>
      </c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1"/>
      <c r="AC85" s="91"/>
      <c r="AD85" s="91"/>
      <c r="AE85" s="91"/>
      <c r="AF85" s="91"/>
      <c r="AG85" s="91"/>
      <c r="AH85" s="91"/>
      <c r="AI85" s="91"/>
      <c r="AJ85" s="91"/>
    </row>
    <row r="86" spans="1:38" ht="18.600000000000001" thickBot="1">
      <c r="B86" s="96" t="s">
        <v>87</v>
      </c>
      <c r="C86" s="93">
        <f>SUM(C69:C70)+SUM(C84:C85)</f>
        <v>0</v>
      </c>
      <c r="D86" s="93">
        <f>SUM(D69:D71)+SUM(D84:D85)</f>
        <v>0</v>
      </c>
      <c r="E86" s="93">
        <f t="shared" ref="E86" si="32">SUM(E69:E71)+SUM(E84:E85)</f>
        <v>0</v>
      </c>
      <c r="F86" s="93">
        <f t="shared" ref="F86" si="33">SUM(F69:F71)+SUM(F84:F85)</f>
        <v>0</v>
      </c>
      <c r="G86" s="93">
        <f t="shared" ref="G86" si="34">SUM(G69:G71)+SUM(G84:G85)</f>
        <v>0</v>
      </c>
      <c r="H86" s="93">
        <f t="shared" ref="H86" si="35">SUM(H69:H71)+SUM(H84:H85)</f>
        <v>0</v>
      </c>
      <c r="I86" s="93">
        <f t="shared" ref="I86" si="36">SUM(I69:I71)+SUM(I84:I85)</f>
        <v>0</v>
      </c>
      <c r="J86" s="93">
        <f t="shared" ref="J86" si="37">SUM(J69:J71)+SUM(J84:J85)</f>
        <v>0</v>
      </c>
      <c r="K86" s="93">
        <f t="shared" ref="K86" si="38">SUM(K69:K71)+SUM(K84:K85)</f>
        <v>0</v>
      </c>
      <c r="L86" s="93">
        <f t="shared" ref="L86" si="39">SUM(L69:L71)+SUM(L84:L85)</f>
        <v>0</v>
      </c>
      <c r="M86" s="93">
        <f t="shared" ref="M86" si="40">SUM(M69:M71)+SUM(M84:M85)</f>
        <v>0</v>
      </c>
      <c r="N86" s="93">
        <f t="shared" ref="N86" si="41">SUM(N69:N71)+SUM(N84:N85)</f>
        <v>0</v>
      </c>
      <c r="O86" s="140">
        <f>SUM(O70:O71)+SUM(O84)</f>
        <v>0</v>
      </c>
      <c r="P86" s="140">
        <f t="shared" ref="P86:Y86" si="42">SUM(P70:P71)+SUM(P84)</f>
        <v>0</v>
      </c>
      <c r="Q86" s="140">
        <f t="shared" si="42"/>
        <v>0</v>
      </c>
      <c r="R86" s="140">
        <f t="shared" si="42"/>
        <v>0</v>
      </c>
      <c r="S86" s="140">
        <f t="shared" si="42"/>
        <v>0</v>
      </c>
      <c r="T86" s="140">
        <f t="shared" si="42"/>
        <v>0</v>
      </c>
      <c r="U86" s="140">
        <f t="shared" si="42"/>
        <v>0</v>
      </c>
      <c r="V86" s="140">
        <f t="shared" si="42"/>
        <v>0</v>
      </c>
      <c r="W86" s="140">
        <f t="shared" si="42"/>
        <v>0</v>
      </c>
      <c r="X86" s="140">
        <f t="shared" si="42"/>
        <v>0</v>
      </c>
      <c r="Y86" s="140">
        <f t="shared" si="42"/>
        <v>0</v>
      </c>
      <c r="Z86" s="140">
        <f>SUM(Z71)+SUM(Z84)</f>
        <v>0</v>
      </c>
      <c r="AA86" s="140">
        <f t="shared" ref="AA86:AJ86" si="43">SUM(AA71)+SUM(AA84)</f>
        <v>0</v>
      </c>
      <c r="AB86" s="140">
        <f t="shared" si="43"/>
        <v>0</v>
      </c>
      <c r="AC86" s="140">
        <f t="shared" si="43"/>
        <v>0</v>
      </c>
      <c r="AD86" s="140">
        <f t="shared" si="43"/>
        <v>0</v>
      </c>
      <c r="AE86" s="140">
        <f t="shared" si="43"/>
        <v>0</v>
      </c>
      <c r="AF86" s="140">
        <f t="shared" si="43"/>
        <v>0</v>
      </c>
      <c r="AG86" s="140">
        <f t="shared" si="43"/>
        <v>0</v>
      </c>
      <c r="AH86" s="140">
        <f t="shared" si="43"/>
        <v>0</v>
      </c>
      <c r="AI86" s="140">
        <f t="shared" si="43"/>
        <v>0</v>
      </c>
      <c r="AJ86" s="140">
        <f t="shared" si="43"/>
        <v>0</v>
      </c>
    </row>
    <row r="88" spans="1:38">
      <c r="A88" s="86" t="str">
        <f>IF('Reverse Engineering Valuation'!A45 = "","    ---    ",'Reverse Engineering Valuation'!A45)</f>
        <v xml:space="preserve">    ---    </v>
      </c>
      <c r="B88" s="87" t="str">
        <f>IF(ROUND(B94,1)&gt;0,CONCATENATE("Under by ",ROUND(B94,1)), IF(ROUND(B94,1)&lt;0, CONCATENATE("OVER BY ",ROUND(B94,1)), "You Matched"))</f>
        <v>You Matched</v>
      </c>
      <c r="C88" s="85">
        <f t="shared" ref="C88:N88" si="44">C127</f>
        <v>44927</v>
      </c>
      <c r="D88" s="85">
        <f t="shared" si="44"/>
        <v>44958</v>
      </c>
      <c r="E88" s="85">
        <f t="shared" si="44"/>
        <v>44986</v>
      </c>
      <c r="F88" s="85">
        <f t="shared" si="44"/>
        <v>45017</v>
      </c>
      <c r="G88" s="85">
        <f t="shared" si="44"/>
        <v>45047</v>
      </c>
      <c r="H88" s="85">
        <f t="shared" si="44"/>
        <v>45078</v>
      </c>
      <c r="I88" s="85">
        <f t="shared" si="44"/>
        <v>45108</v>
      </c>
      <c r="J88" s="85">
        <f t="shared" si="44"/>
        <v>45139</v>
      </c>
      <c r="K88" s="85">
        <f t="shared" si="44"/>
        <v>45170</v>
      </c>
      <c r="L88" s="85">
        <f t="shared" si="44"/>
        <v>45200</v>
      </c>
      <c r="M88" s="85">
        <f t="shared" si="44"/>
        <v>45231</v>
      </c>
      <c r="N88" s="85">
        <f t="shared" si="44"/>
        <v>45261</v>
      </c>
      <c r="O88" s="139" t="str">
        <f t="shared" ref="O88:AJ88" si="45" xml:space="preserve">  CONCATENATE("Ext +", COLUMN()-14)</f>
        <v>Ext +1</v>
      </c>
      <c r="P88" s="139" t="str">
        <f t="shared" si="45"/>
        <v>Ext +2</v>
      </c>
      <c r="Q88" s="139" t="str">
        <f t="shared" si="45"/>
        <v>Ext +3</v>
      </c>
      <c r="R88" s="139" t="str">
        <f t="shared" si="45"/>
        <v>Ext +4</v>
      </c>
      <c r="S88" s="139" t="str">
        <f t="shared" si="45"/>
        <v>Ext +5</v>
      </c>
      <c r="T88" s="139" t="str">
        <f t="shared" si="45"/>
        <v>Ext +6</v>
      </c>
      <c r="U88" s="139" t="str">
        <f t="shared" si="45"/>
        <v>Ext +7</v>
      </c>
      <c r="V88" s="139" t="str">
        <f t="shared" si="45"/>
        <v>Ext +8</v>
      </c>
      <c r="W88" s="139" t="str">
        <f t="shared" si="45"/>
        <v>Ext +9</v>
      </c>
      <c r="X88" s="139" t="str">
        <f t="shared" si="45"/>
        <v>Ext +10</v>
      </c>
      <c r="Y88" s="139" t="str">
        <f t="shared" si="45"/>
        <v>Ext +11</v>
      </c>
      <c r="Z88" s="139" t="str">
        <f t="shared" si="45"/>
        <v>Ext +12</v>
      </c>
      <c r="AA88" s="121" t="str">
        <f t="shared" si="45"/>
        <v>Ext +13</v>
      </c>
      <c r="AB88" s="121" t="str">
        <f t="shared" si="45"/>
        <v>Ext +14</v>
      </c>
      <c r="AC88" s="121" t="str">
        <f t="shared" si="45"/>
        <v>Ext +15</v>
      </c>
      <c r="AD88" s="121" t="str">
        <f t="shared" si="45"/>
        <v>Ext +16</v>
      </c>
      <c r="AE88" s="121" t="str">
        <f t="shared" si="45"/>
        <v>Ext +17</v>
      </c>
      <c r="AF88" s="121" t="str">
        <f t="shared" si="45"/>
        <v>Ext +18</v>
      </c>
      <c r="AG88" s="121" t="str">
        <f t="shared" si="45"/>
        <v>Ext +19</v>
      </c>
      <c r="AH88" s="121" t="str">
        <f t="shared" si="45"/>
        <v>Ext +20</v>
      </c>
      <c r="AI88" s="121" t="str">
        <f t="shared" si="45"/>
        <v>Ext +21</v>
      </c>
      <c r="AJ88" s="121" t="str">
        <f t="shared" si="45"/>
        <v>Ext +22</v>
      </c>
    </row>
    <row r="89" spans="1:38">
      <c r="A89" s="90" t="str">
        <f>A68</f>
        <v xml:space="preserve">Number of customers @ </v>
      </c>
      <c r="B89" s="50">
        <f>'Reverse Engineering Valuation'!B45</f>
        <v>0</v>
      </c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91"/>
      <c r="P89" s="91"/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91"/>
      <c r="AG89" s="91"/>
      <c r="AH89" s="91"/>
      <c r="AI89" s="91"/>
      <c r="AJ89" s="91"/>
      <c r="AK89" s="1"/>
      <c r="AL89" s="1"/>
    </row>
    <row r="90" spans="1:38">
      <c r="A90" s="90" t="s">
        <v>80</v>
      </c>
      <c r="B90" s="52"/>
      <c r="C90" s="50" t="str">
        <f>IF(C89*B90*B89,C89*B90*B89,"")</f>
        <v/>
      </c>
      <c r="D90" s="50" t="str">
        <f>IF(D89*B90*B89,D89*B90*B89,"")</f>
        <v/>
      </c>
      <c r="E90" s="50" t="str">
        <f>IF(E89*B90*B89,E89*B90*B89,"")</f>
        <v/>
      </c>
      <c r="F90" s="50" t="str">
        <f>IF(F89*B90*B89,F89*B90*B89,"")</f>
        <v/>
      </c>
      <c r="G90" s="50" t="str">
        <f>IF(G89*B90*B89,G89*B90*B89,"")</f>
        <v/>
      </c>
      <c r="H90" s="50" t="str">
        <f>IF(H89*B90*B89,H89*B90*B89,"")</f>
        <v/>
      </c>
      <c r="I90" s="50" t="str">
        <f>IF(I89*B90*B89,I89*B90*B89,"")</f>
        <v/>
      </c>
      <c r="J90" s="50" t="str">
        <f>IF(J89*B90*B89,J89*B90*B89,"")</f>
        <v/>
      </c>
      <c r="K90" s="50" t="str">
        <f>IF(K89*B90*B89,K89*B90*B89,"")</f>
        <v/>
      </c>
      <c r="L90" s="50" t="str">
        <f>IF(L89*B90*B89,L89*B90*B89,"")</f>
        <v/>
      </c>
      <c r="M90" s="50" t="str">
        <f>IF(M89*B90*B89,M89*B90*B89,"")</f>
        <v/>
      </c>
      <c r="N90" s="50" t="str">
        <f>IF(N89*B90*B89,N89*B90*B89,"")</f>
        <v/>
      </c>
      <c r="O90" s="91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1"/>
    </row>
    <row r="91" spans="1:38">
      <c r="A91" s="90" t="s">
        <v>81</v>
      </c>
      <c r="B91" s="53"/>
      <c r="C91" s="50" t="str">
        <f>IF(IF((COLUMN()-2-B91)&gt;0,INDEX(C89:Z89,1, (COLUMN()-2-B91)),0)&gt;=1,(B89* IF((COLUMN()-2-B91)&gt;0,INDEX(C89:Z89,1, (COLUMN()-2-B91)),0)*(1-B90))/(B92+1),"")</f>
        <v/>
      </c>
      <c r="D91" s="50" t="str">
        <f>IF(IF((COLUMN()-2-B91)&gt;0,INDEX(C89:Z89,1, (COLUMN()-2-B91)),0)&gt;=1,(B89* IF((COLUMN()-2-B91)&gt;0,INDEX(C89:Z89,1, (COLUMN()-2-B91)),0)*(1-B90))/(B92+1),"")</f>
        <v/>
      </c>
      <c r="E91" s="50" t="str">
        <f>IF(IF((COLUMN()-2-B91)&gt;0,INDEX(C89:Z89,1, (COLUMN()-2-B91)),0)&gt;=1,(B89* IF((COLUMN()-2-B91)&gt;0,INDEX(C89:Z89,1, (COLUMN()-2-B91)),0)*(1-B90))/(B92+1),"")</f>
        <v/>
      </c>
      <c r="F91" s="50" t="str">
        <f>IF(IF((COLUMN()-2-B91)&gt;0,INDEX(C89:Z89,1, (COLUMN()-2-B91)),0)&gt;=1,(B89* IF((COLUMN()-2-B91)&gt;0,INDEX(C89:Z89,1, (COLUMN()-2-B91)),0)*(1-B90))/(B92+1),"")</f>
        <v/>
      </c>
      <c r="G91" s="50" t="str">
        <f>IF(IF((COLUMN()-2-B91)&gt;0,INDEX(C89:Z89,1, (COLUMN()-2-B91)),0)&gt;=1,(B89* IF((COLUMN()-2-B91)&gt;0,INDEX(C89:Z89,1, (COLUMN()-2-B91)),0)*(1-B90))/(B92+1),"")</f>
        <v/>
      </c>
      <c r="H91" s="50" t="str">
        <f>IF(IF((COLUMN()-2-B91)&gt;0,INDEX(C89:Z89,1, (COLUMN()-2-B91)),0)&gt;=1,(B89* IF((COLUMN()-2-B91)&gt;0,INDEX(C89:Z89,1, (COLUMN()-2-B91)),0)*(1-B90))/(B92+1),"")</f>
        <v/>
      </c>
      <c r="I91" s="50" t="str">
        <f>IF(IF((COLUMN()-2-B91)&gt;0,INDEX(C89:Z89,1, (COLUMN()-2-B91)),0)&gt;=1,(B89* IF((COLUMN()-2-B91)&gt;0,INDEX(C89:Z89,1, (COLUMN()-2-B91)),0)*(1-B90))/(B92+1),"")</f>
        <v/>
      </c>
      <c r="J91" s="50" t="str">
        <f>IF(IF((COLUMN()-2-B91)&gt;0,INDEX(C89:Z89,1, (COLUMN()-2-B91)),0)&gt;=1,(B89* IF((COLUMN()-2-B91)&gt;0,INDEX(C89:Z89,1, (COLUMN()-2-B91)),0)*(1-B90))/(B92+1),"")</f>
        <v/>
      </c>
      <c r="K91" s="50" t="str">
        <f>IF(IF((COLUMN()-2-B91)&gt;0,INDEX(C89:Z89,1, (COLUMN()-2-B91)),0)&gt;=1,(B89* IF((COLUMN()-2-B91)&gt;0,INDEX(C89:Z89,1, (COLUMN()-2-B91)),0)*(1-B90))/(B92+1),"")</f>
        <v/>
      </c>
      <c r="L91" s="50" t="str">
        <f>IF(IF((COLUMN()-2-B91)&gt;0,INDEX(C89:Z89,1, (COLUMN()-2-B91)),0)&gt;=1,(B89* IF((COLUMN()-2-B91)&gt;0,INDEX(C89:Z89,1, (COLUMN()-2-B91)),0)*(1-B90))/(B92+1),"")</f>
        <v/>
      </c>
      <c r="M91" s="50" t="str">
        <f>IF(IF((COLUMN()-2-B91)&gt;0,INDEX(C89:Z89,1, (COLUMN()-2-B91)),0)&gt;=1,(B89* IF((COLUMN()-2-B91)&gt;0,INDEX(C89:Z89,1, (COLUMN()-2-B91)),0)*(1-B90))/(B92+1),"")</f>
        <v/>
      </c>
      <c r="N91" s="50" t="str">
        <f>IF(IF((COLUMN()-2-B91)&gt;0,INDEX(C89:Z89,1, (COLUMN()-2-B91)),0)&gt;=1,(B89* IF((COLUMN()-2-B91)&gt;0,INDEX(C89:Z89,1, (COLUMN()-2-B91)),0)*(1-B90))/(B92+1),"")</f>
        <v/>
      </c>
      <c r="O91" s="55" t="str">
        <f>IF(IF((COLUMN()-2-B91)&gt;0,INDEX(C89:Z89,1, (COLUMN()-2-B91)),0)&gt;=1,(B89* IF((COLUMN()-2-B91)&gt;0,INDEX(C89:Z89,1, (COLUMN()-2-B91)),0)*(1-B90))/(B92+1),"")</f>
        <v/>
      </c>
      <c r="P91" s="55" t="str">
        <f>IF(IF((COLUMN()-2-B91)&gt;0,INDEX(C89:Z89,1, (COLUMN()-2-B91)),0)&gt;=1,(B89* IF((COLUMN()-2-B91)&gt;0,INDEX(C89:Z89,1, (COLUMN()-2-B91)),0)*(1-B90))/(B92+1),"")</f>
        <v/>
      </c>
      <c r="Q91" s="55" t="str">
        <f>IF(IF((COLUMN()-2-B91)&gt;0,INDEX(C89:Z89,1, (COLUMN()-2-B91)),0)&gt;=1,(B89* IF((COLUMN()-2-B91)&gt;0,INDEX(C89:Z89,1, (COLUMN()-2-B91)),0)*(1-B90))/(B92+1),"")</f>
        <v/>
      </c>
      <c r="R91" s="55" t="str">
        <f>IF(IF((COLUMN()-2-B91)&gt;0,INDEX(C89:Z89,1, (COLUMN()-2-B91)),0)&gt;=1,(B89* IF((COLUMN()-2-B91)&gt;0,INDEX(C89:Z89,1, (COLUMN()-2-B91)),0)*(1-B90))/(B92+1),"")</f>
        <v/>
      </c>
      <c r="S91" s="55" t="str">
        <f>IF(IF((COLUMN()-2-B91)&gt;0,INDEX(C89:Z89,1, (COLUMN()-2-B91)),0)&gt;=1,(B89* IF((COLUMN()-2-B91)&gt;0,INDEX(C89:Z89,1, (COLUMN()-2-B91)),0)*(1-B90))/(B92+1),"")</f>
        <v/>
      </c>
      <c r="T91" s="55" t="str">
        <f>IF(IF((COLUMN()-2-B91)&gt;0,INDEX(C89:Z89,1, (COLUMN()-2-B91)),0)&gt;=1,(B89* IF((COLUMN()-2-B91)&gt;0,INDEX(C89:Z89,1, (COLUMN()-2-B91)),0)*(1-B90))/(B92+1),"")</f>
        <v/>
      </c>
      <c r="U91" s="55" t="str">
        <f>IF(IF((COLUMN()-2-B91)&gt;0,INDEX(C89:Z89,1, (COLUMN()-2-B91)),0)&gt;=1,(B89* IF((COLUMN()-2-B91)&gt;0,INDEX(C89:Z89,1, (COLUMN()-2-B91)),0)*(1-B90))/(B92+1),"")</f>
        <v/>
      </c>
      <c r="V91" s="55" t="str">
        <f>IF(IF((COLUMN()-2-B91)&gt;0,INDEX(C89:Z89,1, (COLUMN()-2-B91)),0)&gt;=1,(B89* IF((COLUMN()-2-B91)&gt;0,INDEX(C89:Z89,1, (COLUMN()-2-B91)),0)*(1-B90))/(B92+1),"")</f>
        <v/>
      </c>
      <c r="W91" s="55" t="str">
        <f>IF(IF((COLUMN()-2-B91)&gt;0,INDEX(C89:Z89,1, (COLUMN()-2-B91)),0)&gt;=1,(B89* IF((COLUMN()-2-B91)&gt;0,INDEX(C89:Z89,1, (COLUMN()-2-B91)),0)*(1-B90))/(B92+1),"")</f>
        <v/>
      </c>
      <c r="X91" s="55" t="str">
        <f>IF(IF((COLUMN()-2-B91)&gt;0,INDEX(C89:Z89,1, (COLUMN()-2-B91)),0)&gt;=1,(B89* IF((COLUMN()-2-B91)&gt;0,INDEX(C89:Z89,1, (COLUMN()-2-B91)),0)*(1-B90))/(B92+1),"")</f>
        <v/>
      </c>
      <c r="Y91" s="55" t="str">
        <f>IF(IF((COLUMN()-2-B91)&gt;0,INDEX(C89:Z89,1, (COLUMN()-2-B91)),0)&gt;=1,(B89* IF((COLUMN()-2-B91)&gt;0,INDEX(C89:Z89,1, (COLUMN()-2-B91)),0)*(1-B90))/(B92+1),"")</f>
        <v/>
      </c>
      <c r="Z91" s="91" t="str">
        <f>IF(IF((COLUMN()-2-B91)&gt;0,INDEX(C89:Z89,1, (COLUMN()-2-B91)),0)&gt;=1,(B89* IF((COLUMN()-2-B91)&gt;0,INDEX(C89:Z89,1, (COLUMN()-2-B91)),0)*(1-B90))/(B92+1),"")</f>
        <v/>
      </c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1"/>
    </row>
    <row r="92" spans="1:38">
      <c r="A92" s="90" t="s">
        <v>82</v>
      </c>
      <c r="B92" s="53"/>
      <c r="C92" s="91"/>
      <c r="D92" s="50" t="str">
        <f>IF(SUM(D93),SUM(D93),"")</f>
        <v/>
      </c>
      <c r="E92" s="50" t="str">
        <f>IF(SUM(E93:E94),SUM(E93:E94),"")</f>
        <v/>
      </c>
      <c r="F92" s="50" t="str">
        <f>IF(SUM(F93:F95),SUM(F93:F95),"")</f>
        <v/>
      </c>
      <c r="G92" s="50" t="str">
        <f>IF(SUM(G93:G96),SUM(G93:G96),"")</f>
        <v/>
      </c>
      <c r="H92" s="50" t="str">
        <f>IF(SUM(H93:H97),SUM(H93:H97),"")</f>
        <v/>
      </c>
      <c r="I92" s="50" t="str">
        <f>IF(SUM(I93:I98),SUM(I93:I98),"")</f>
        <v/>
      </c>
      <c r="J92" s="50" t="str">
        <f>IF(SUM(J93:J99),SUM(J93:J99),"")</f>
        <v/>
      </c>
      <c r="K92" s="50" t="str">
        <f>IF(SUM(K93:K100),SUM(K93:K100),"")</f>
        <v/>
      </c>
      <c r="L92" s="50" t="str">
        <f>IF(SUM(L93:L101),SUM(L93:L101),"")</f>
        <v/>
      </c>
      <c r="M92" s="50" t="str">
        <f>IF(SUM(M93:M102),SUM(M93:M102),"")</f>
        <v/>
      </c>
      <c r="N92" s="50" t="str">
        <f>IF(SUM(N93:N103),SUM(N93:N103),"")</f>
        <v/>
      </c>
      <c r="O92" s="55" t="str">
        <f t="shared" ref="O92:Z92" si="46">IF(SUM(O93:O104),SUM(O93:O104),"")</f>
        <v/>
      </c>
      <c r="P92" s="55" t="str">
        <f t="shared" si="46"/>
        <v/>
      </c>
      <c r="Q92" s="55" t="str">
        <f t="shared" si="46"/>
        <v/>
      </c>
      <c r="R92" s="55" t="str">
        <f t="shared" si="46"/>
        <v/>
      </c>
      <c r="S92" s="55" t="str">
        <f t="shared" si="46"/>
        <v/>
      </c>
      <c r="T92" s="55" t="str">
        <f t="shared" si="46"/>
        <v/>
      </c>
      <c r="U92" s="55" t="str">
        <f t="shared" si="46"/>
        <v/>
      </c>
      <c r="V92" s="55" t="str">
        <f t="shared" si="46"/>
        <v/>
      </c>
      <c r="W92" s="55" t="str">
        <f t="shared" si="46"/>
        <v/>
      </c>
      <c r="X92" s="55" t="str">
        <f t="shared" si="46"/>
        <v/>
      </c>
      <c r="Y92" s="55" t="str">
        <f t="shared" si="46"/>
        <v/>
      </c>
      <c r="Z92" s="55" t="str">
        <f t="shared" si="46"/>
        <v/>
      </c>
      <c r="AA92" s="56" t="str">
        <f>IF(SUM(AA95:AA104),SUM(AA95:AA104),"")</f>
        <v/>
      </c>
      <c r="AB92" s="56" t="str">
        <f>IF(SUM(AB96:AB104),SUM(AB96:AB104),"")</f>
        <v/>
      </c>
      <c r="AC92" s="56" t="str">
        <f>IF(SUM(AC97:AC104),SUM(AC97:AC104),"")</f>
        <v/>
      </c>
      <c r="AD92" s="56" t="str">
        <f>IF(SUM(AD98:AD104),SUM(AD98:AD104),"")</f>
        <v/>
      </c>
      <c r="AE92" s="56" t="str">
        <f>IF(SUM(AE99:AE104),SUM(AE99:AE104),"")</f>
        <v/>
      </c>
      <c r="AF92" s="56" t="str">
        <f>IF(SUM(AF100:AF104),SUM(AF100:AF104),"")</f>
        <v/>
      </c>
      <c r="AG92" s="56" t="str">
        <f>IF(SUM(AG101:AG104),SUM(AG101:AG104),"")</f>
        <v/>
      </c>
      <c r="AH92" s="56" t="str">
        <f>IF(SUM(AH102:AH104),SUM(AH102:AH104),"")</f>
        <v/>
      </c>
      <c r="AI92" s="56" t="str">
        <f>IF(SUM(AI103:AI104),SUM(AI103:AI104),"")</f>
        <v/>
      </c>
      <c r="AJ92" s="56" t="str">
        <f>IF(SUM(AJ104),SUM(AJ104),"")</f>
        <v/>
      </c>
      <c r="AK92" s="1"/>
      <c r="AL92" s="1"/>
    </row>
    <row r="93" spans="1:38" hidden="1">
      <c r="A93" s="90" t="s">
        <v>83</v>
      </c>
      <c r="B93" s="51">
        <f>IF('Reverse Engineering Valuation'!F45,'Reverse Engineering Valuation'!H45,'Reverse Engineering Valuation'!E45)</f>
        <v>0</v>
      </c>
      <c r="C93" s="91"/>
      <c r="D93" s="50" t="str">
        <f>IF(OR(NOT(C89),(COLUMN()-3)-(B91+1)&lt;0,(B91+1+B92) - (COLUMN()-2) &lt;0),"",C89*(1-B90)/(B92+1)*B89)</f>
        <v/>
      </c>
      <c r="E93" s="50" t="str">
        <f>IF(OR(NOT(C89),(COLUMN()-3)-(B91+1)&lt;0,(B91+1+B92) - (COLUMN()-2) &lt;0),"",C89*(1-B90)/(B92+1)*B89)</f>
        <v/>
      </c>
      <c r="F93" s="50" t="str">
        <f>IF(OR(NOT(C89),(COLUMN()-3)-(B91+1)&lt;0,(B91+1+B92) - (COLUMN()-2) &lt;0),"",C89*(1-B90)/(B92+1)*B89)</f>
        <v/>
      </c>
      <c r="G93" s="50" t="str">
        <f>IF(OR(NOT(C89),(COLUMN()-3)-(B91+1)&lt;0,(B91+1+B92) - (COLUMN()-2) &lt;0),"",C89*(1-B90)/(B92+1)*B89)</f>
        <v/>
      </c>
      <c r="H93" s="50" t="str">
        <f>IF(OR(NOT(C89),(COLUMN()-3)-(B91+1)&lt;0,(B91+1+B92) - (COLUMN()-2) &lt;0),"",C89*(1-B90)/(B92+1)*B89)</f>
        <v/>
      </c>
      <c r="I93" s="50" t="str">
        <f>IF(OR(NOT(C89),(COLUMN()-3)-(B91+1)&lt;0,(B91+1+B92) - (COLUMN()-2) &lt;0),"",C89*(1-B90)/(B92+1)*B89)</f>
        <v/>
      </c>
      <c r="J93" s="50" t="str">
        <f>IF(OR(NOT(C89),(COLUMN()-3)-(B91+1)&lt;0,(B91+1+B92) - (COLUMN()-2) &lt;0),"",C89*(1-B90)/(B92+1)*B89)</f>
        <v/>
      </c>
      <c r="K93" s="50" t="str">
        <f>IF(OR(NOT(C89),(COLUMN()-3)-(B91+1)&lt;0,(B91+1+B92) - (COLUMN()-2) &lt;0),"",C89*(1-B90)/(B92+1)*B89)</f>
        <v/>
      </c>
      <c r="L93" s="50" t="str">
        <f>IF(OR(NOT(C89),(COLUMN()-3)-(B91+1)&lt;0,(B91+1+B92) - (COLUMN()-2) &lt;0),"",C89*(1-B90)/(B92+1)*B89)</f>
        <v/>
      </c>
      <c r="M93" s="50" t="str">
        <f>IF(OR(NOT(C89),(COLUMN()-3)-(B91+1)&lt;0,(B91+1+B92) - (COLUMN()-2) &lt;0),"",C89*(1-B90)/(B92+1)*B89)</f>
        <v/>
      </c>
      <c r="N93" s="50" t="str">
        <f>IF(OR(NOT(C89),(COLUMN()-3)-(B91+1)&lt;0,(B91+1+B92) - (COLUMN()-2) &lt;0),"",C89*(1-B90)/(B92+1)*B89)</f>
        <v/>
      </c>
      <c r="O93" s="55" t="str">
        <f>IF(OR(NOT(C89),(COLUMN()-3)-(B91+1)&lt;0,(B91+1+B92) - (COLUMN()-2) &lt;0),"",C89*(1-B90)/(B92+1)*B89)</f>
        <v/>
      </c>
      <c r="P93" s="55" t="str">
        <f>IF(OR(NOT(C89),(COLUMN()-3)-(B91+1)&lt;0,(B91+1+B92) - (COLUMN()-2) &lt;0),"",C89*(1-B90)/(B92+1)*B89)</f>
        <v/>
      </c>
      <c r="Q93" s="55" t="str">
        <f>IF(OR(NOT(C89),(COLUMN()-3)-(B91+1)&lt;0,(B91+1+B92) - (COLUMN()-2) &lt;0),"",C89*(1-B90)/(B92+1)*B89)</f>
        <v/>
      </c>
      <c r="R93" s="55" t="str">
        <f>IF(OR(NOT(C89),(COLUMN()-3)-(B91+1)&lt;0,(B91+1+B92) - (COLUMN()-2) &lt;0),"",C89*(1-B90)/(B92+1)*B89)</f>
        <v/>
      </c>
      <c r="S93" s="55" t="str">
        <f>IF(OR(NOT(C89),(COLUMN()-3)-(B91+1)&lt;0,(B91+1+B92) - (COLUMN()-2) &lt;0),"",C89*(1-B90)/(B92+1)*B89)</f>
        <v/>
      </c>
      <c r="T93" s="55" t="str">
        <f>IF(OR(NOT(C89),(COLUMN()-3)-(B91+1)&lt;0,(B91+1+B92) - (COLUMN()-2) &lt;0),"",C89*(1-B90)/(B92+1)*B89)</f>
        <v/>
      </c>
      <c r="U93" s="55" t="str">
        <f>IF(OR(NOT(C89),(COLUMN()-3)-(B91+1)&lt;0,(B91+1+B92) - (COLUMN()-2) &lt;0),"",C89*(1-B90)/(B92+1)*B89)</f>
        <v/>
      </c>
      <c r="V93" s="55" t="str">
        <f>IF(OR(NOT(C89),(COLUMN()-3)-(B91+1)&lt;0,(B91+1+B92) - (COLUMN()-2) &lt;0),"",C89*(1-B90)/(B92+1)*B89)</f>
        <v/>
      </c>
      <c r="W93" s="55" t="str">
        <f>IF(OR(NOT(C89),(COLUMN()-3)-(B91+1)&lt;0,(B91+1+B92) - (COLUMN()-2) &lt;0),"",C89*(1-B90)/(B92+1)*B89)</f>
        <v/>
      </c>
      <c r="X93" s="55" t="str">
        <f>IF(OR(NOT(C89),(COLUMN()-3)-(B91+1)&lt;0,(B91+1+B92) - (COLUMN()-2) &lt;0),"",C89*(1-B90)/(B92+1)*B89)</f>
        <v/>
      </c>
      <c r="Y93" s="55" t="str">
        <f>IF(OR(NOT(C89),(COLUMN()-3)-(B91+1)&lt;0,(B91+1+B92) - (COLUMN()-2) &lt;0),"",C89*(1-B90)/(B92+1)*B89)</f>
        <v/>
      </c>
      <c r="Z93" s="55" t="str">
        <f>IF(OR(NOT(C89),(COLUMN()-3)-(B91+1)&lt;0,(B91+1+B92) - (COLUMN()-2) &lt;0),"",C89*(1-B90)/(B92+1)*B89)</f>
        <v/>
      </c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1"/>
    </row>
    <row r="94" spans="1:38" hidden="1">
      <c r="A94" s="90" t="s">
        <v>84</v>
      </c>
      <c r="B94" s="54">
        <f>B93-SUM(C89:N89)</f>
        <v>0</v>
      </c>
      <c r="C94" s="91"/>
      <c r="D94" s="91"/>
      <c r="E94" s="50" t="str">
        <f>IF(OR(NOT(D89),(COLUMN()-3)-(B91+2)&lt;0,(B91+2 +B92) - (COLUMN()-2) &lt;0),"",D89*(1-B90)/(B92+1)*B89)</f>
        <v/>
      </c>
      <c r="F94" s="50" t="str">
        <f>IF(OR(NOT(D89),(COLUMN()-3)-(B91+2)&lt;0,(B91+2 +B92) - (COLUMN()-2) &lt;0),"",D89*(1-B90)/(B92+1)*B89)</f>
        <v/>
      </c>
      <c r="G94" s="50" t="str">
        <f>IF(OR(NOT(D89),(COLUMN()-3)-(B91+2)&lt;0,(B91+2 +B92) - (COLUMN()-2) &lt;0),"",D89*(1-B90)/(B92+1)*B89)</f>
        <v/>
      </c>
      <c r="H94" s="50" t="str">
        <f>IF(OR(NOT(D89),(COLUMN()-3)-(B91+2)&lt;0,(B91+2 +B92) - (COLUMN()-2) &lt;0),"",D89*(1-B90)/(B92+1)*B89)</f>
        <v/>
      </c>
      <c r="I94" s="50" t="str">
        <f>IF(OR(NOT(D89),(COLUMN()-3)-(B91+2)&lt;0,(B91+2 +B92) - (COLUMN()-2) &lt;0),"",D89*(1-B90)/(B92+1)*B89)</f>
        <v/>
      </c>
      <c r="J94" s="50" t="str">
        <f>IF(OR(NOT(D89),(COLUMN()-3)-(B91+2)&lt;0,(B91+2 +B92) - (COLUMN()-2) &lt;0),"",D89*(1-B90)/(B92+1)*B89)</f>
        <v/>
      </c>
      <c r="K94" s="50" t="str">
        <f>IF(OR(NOT(D89),(COLUMN()-3)-(B91+2)&lt;0,(B91+2 +B92) - (COLUMN()-2) &lt;0),"",D89*(1-B90)/(B92+1)*B89)</f>
        <v/>
      </c>
      <c r="L94" s="50" t="str">
        <f>IF(OR(NOT(D89),(COLUMN()-3)-(B91+2)&lt;0,(B91+2 +B92) - (COLUMN()-2) &lt;0),"",D89*(1-B90)/(B92+1)*B89)</f>
        <v/>
      </c>
      <c r="M94" s="50" t="str">
        <f>IF(OR(NOT(D89),(COLUMN()-3)-(B91+2)&lt;0,(B91+2 +B92) - (COLUMN()-2) &lt;0),"",D89*(1-B90)/(B92+1)*B89)</f>
        <v/>
      </c>
      <c r="N94" s="50" t="str">
        <f>IF(OR(NOT(D89),(COLUMN()-3)-(B91+2)&lt;0,(B91+2 +B92) - (COLUMN()-2) &lt;0),"",D89*(1-B90)/(B92+1)*B89)</f>
        <v/>
      </c>
      <c r="O94" s="55" t="str">
        <f>IF(OR(NOT(D89),(COLUMN()-3)-(B91+2)&lt;0,(B91+2 +B92) - (COLUMN()-2) &lt;0),"",D89*(1-B90)/(B92+1)*B89)</f>
        <v/>
      </c>
      <c r="P94" s="55" t="str">
        <f>IF(OR(NOT(D89),(COLUMN()-3)-(B91+2)&lt;0,(B91+2 +B92) - (COLUMN()-2) &lt;0),"",D89*(1-B90)/(B92+1)*B89)</f>
        <v/>
      </c>
      <c r="Q94" s="55" t="str">
        <f>IF(OR(NOT(D89),(COLUMN()-3)-(B91+2)&lt;0,(B91+2 +B92) - (COLUMN()-2) &lt;0),"",D89*(1-B90)/(B92+1)*B89)</f>
        <v/>
      </c>
      <c r="R94" s="55" t="str">
        <f>IF(OR(NOT(D89),(COLUMN()-3)-(B91+2)&lt;0,(B91+2 +B92) - (COLUMN()-2) &lt;0),"",D89*(1-B90)/(B92+1)*B89)</f>
        <v/>
      </c>
      <c r="S94" s="55" t="str">
        <f>IF(OR(NOT(D89),(COLUMN()-3)-(B91+2)&lt;0,(B91+2 +B92) - (COLUMN()-2) &lt;0),"",D89*(1-B90)/(B92+1)*B89)</f>
        <v/>
      </c>
      <c r="T94" s="55" t="str">
        <f>IF(OR(NOT(D89),(COLUMN()-3)-(B91+2)&lt;0,(B91+2 +B92) - (COLUMN()-2) &lt;0),"",D89*(1-B90)/(B92+1)*B89)</f>
        <v/>
      </c>
      <c r="U94" s="55" t="str">
        <f>IF(OR(NOT(D89),(COLUMN()-3)-(B91+2)&lt;0,(B91+2 +B92) - (COLUMN()-2) &lt;0),"",D89*(1-B90)/(B92+1)*B89)</f>
        <v/>
      </c>
      <c r="V94" s="55" t="str">
        <f>IF(OR(NOT(D89),(COLUMN()-3)-(B91+2)&lt;0,(B91+2 +B92) - (COLUMN()-2) &lt;0),"",D89*(1-B90)/(B92+1)*B89)</f>
        <v/>
      </c>
      <c r="W94" s="55" t="str">
        <f>IF(OR(NOT(D89),(COLUMN()-3)-(B91+2)&lt;0,(B91+2 +B92) - (COLUMN()-2) &lt;0),"",D89*(1-B90)/(B92+1)*B89)</f>
        <v/>
      </c>
      <c r="X94" s="55" t="str">
        <f>IF(OR(NOT(D89),(COLUMN()-3)-(B91+2)&lt;0,(B91+2 +B92) - (COLUMN()-2) &lt;0),"",D89*(1-B90)/(B92+1)*B89)</f>
        <v/>
      </c>
      <c r="Y94" s="55" t="str">
        <f>IF(OR(NOT(D89),(COLUMN()-3)-(B91+2)&lt;0,(B91+2 +B92) - (COLUMN()-2) &lt;0),"",D89*(1-B90)/(B92+1)*B89)</f>
        <v/>
      </c>
      <c r="Z94" s="55" t="str">
        <f>IF(OR(NOT(D89),(COLUMN()-3)-(B91+2)&lt;0,(B91+2 +B92) - (COLUMN()-2) &lt;0),"",D89*(1-B90)/(B92+1)*B89)</f>
        <v/>
      </c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1"/>
    </row>
    <row r="95" spans="1:38" hidden="1">
      <c r="A95" s="91"/>
      <c r="B95" s="91"/>
      <c r="C95" s="91"/>
      <c r="D95" s="91"/>
      <c r="E95" s="91"/>
      <c r="F95" s="50" t="str">
        <f>IF(OR(NOT(E89),(COLUMN()-3)-(B91+3)&lt;0,(B91+3+B92) - (COLUMN()-2) &lt;0),"",E89*(1-B90)/(B92+1)*B89)</f>
        <v/>
      </c>
      <c r="G95" s="50" t="str">
        <f>IF(OR(NOT(E89),(COLUMN()-3)-(B91+3)&lt;0,(B91+3+B92) - (COLUMN()-2) &lt;0),"",E89*(1-B90)/(B92+1)*B89)</f>
        <v/>
      </c>
      <c r="H95" s="50" t="str">
        <f>IF(OR(NOT(E89),(COLUMN()-3)-(B91+3)&lt;0,(B91+3+B92) - (COLUMN()-2) &lt;0),"",E89*(1-B90)/(B92+1)*B89)</f>
        <v/>
      </c>
      <c r="I95" s="50" t="str">
        <f>IF(OR(NOT(E89),(COLUMN()-3)-(B91+3)&lt;0,(B91+3+B92) - (COLUMN()-2) &lt;0),"",E89*(1-B90)/(B92+1)*B89)</f>
        <v/>
      </c>
      <c r="J95" s="50" t="str">
        <f>IF(OR(NOT(E89),(COLUMN()-3)-(B91+3)&lt;0,(B91+3+B92) - (COLUMN()-2) &lt;0),"",E89*(1-B90)/(B92+1)*B89)</f>
        <v/>
      </c>
      <c r="K95" s="50" t="str">
        <f>IF(OR(NOT(E89),(COLUMN()-3)-(B91+3)&lt;0,(B91+3+B92) - (COLUMN()-2) &lt;0),"",E89*(1-B90)/(B92+1)*B89)</f>
        <v/>
      </c>
      <c r="L95" s="50" t="str">
        <f>IF(OR(NOT(E89),(COLUMN()-3)-(B91+3)&lt;0,(B91+3+B92) - (COLUMN()-2) &lt;0),"",E89*(1-B90)/(B92+1)*B89)</f>
        <v/>
      </c>
      <c r="M95" s="50" t="str">
        <f>IF(OR(NOT(E89),(COLUMN()-3)-(B91+3)&lt;0,(B91+3+B92) - (COLUMN()-2) &lt;0),"",E89*(1-B90)/(B92+1)*B89)</f>
        <v/>
      </c>
      <c r="N95" s="50" t="str">
        <f>IF(OR(NOT(E89),(COLUMN()-3)-(B91+3)&lt;0,(B91+3+B92) - (COLUMN()-2) &lt;0),"",E89*(1-B90)/(B92+1)*B89)</f>
        <v/>
      </c>
      <c r="O95" s="55" t="str">
        <f>IF(OR(NOT(E89),(COLUMN()-3)-(B91+3)&lt;0,(B91+3+B92) - (COLUMN()-2) &lt;0),"",E89*(1-B90)/(B92+1)*B89)</f>
        <v/>
      </c>
      <c r="P95" s="55" t="str">
        <f>IF(OR(NOT(E89),(COLUMN()-3)-(B91+3)&lt;0,(B91+3+B92) - (COLUMN()-2) &lt;0),"",E89*(1-B90)/(B92+1)*B89)</f>
        <v/>
      </c>
      <c r="Q95" s="55" t="str">
        <f>IF(OR(NOT(E89),(COLUMN()-3)-(B91+3)&lt;0,(B91+3+B92) - (COLUMN()-2) &lt;0),"",E89*(1-B90)/(B92+1)*B89)</f>
        <v/>
      </c>
      <c r="R95" s="55" t="str">
        <f>IF(OR(NOT(E89),(COLUMN()-3)-(B91+3)&lt;0,(B91+3+B92) - (COLUMN()-2) &lt;0),"",E89*(1-B90)/(B92+1)*B89)</f>
        <v/>
      </c>
      <c r="S95" s="55" t="str">
        <f>IF(OR(NOT(E89),(COLUMN()-3)-(B91+3)&lt;0,(B91+3+B92) - (COLUMN()-2) &lt;0),"",E89*(1-B90)/(B92+1)*B89)</f>
        <v/>
      </c>
      <c r="T95" s="55" t="str">
        <f>IF(OR(NOT(E89),(COLUMN()-3)-(B91+3)&lt;0,(B91+3+B92) - (COLUMN()-2) &lt;0),"",E89*(1-B90)/(B92+1)*B89)</f>
        <v/>
      </c>
      <c r="U95" s="55" t="str">
        <f>IF(OR(NOT(E89),(COLUMN()-3)-(B91+3)&lt;0,(B91+3+B92) - (COLUMN()-2) &lt;0),"",E89*(1-B90)/(B92+1)*B89)</f>
        <v/>
      </c>
      <c r="V95" s="55" t="str">
        <f>IF(OR(NOT(E89),(COLUMN()-3)-(B91+3)&lt;0,(B91+3+B92) - (COLUMN()-2) &lt;0),"",E89*(1-B90)/(B92+1)*B89)</f>
        <v/>
      </c>
      <c r="W95" s="55" t="str">
        <f>IF(OR(NOT(E89),(COLUMN()-3)-(B91+3)&lt;0,(B91+3+B92) - (COLUMN()-2) &lt;0),"",E89*(1-B90)/(B92+1)*B89)</f>
        <v/>
      </c>
      <c r="X95" s="55" t="str">
        <f>IF(OR(NOT(E89),(COLUMN()-3)-(B91+3)&lt;0,(B91+3+B92) - (COLUMN()-2) &lt;0),"",E89*(1-B90)/(B92+1)*B89)</f>
        <v/>
      </c>
      <c r="Y95" s="55" t="str">
        <f>IF(OR(NOT(E89),(COLUMN()-3)-(B91+3)&lt;0,(B91+3+B92) - (COLUMN()-2) &lt;0),"",E89*(1-B90)/(B92+1)*B89)</f>
        <v/>
      </c>
      <c r="Z95" s="55" t="str">
        <f>IF(OR(NOT(E89),(COLUMN()-3)-(B91+3)&lt;0,(B91+3+B92) - (COLUMN()-2) &lt;0),"",E89*(1-B90)/(B92+1)*B89)</f>
        <v/>
      </c>
      <c r="AA95" s="56" t="str">
        <f>IF(OR(NOT(E89),(COLUMN()-3)-(B91+3)&lt;0,(B91+3+B92) - (COLUMN()-2) &lt;0),"",E89*(1-B90)/(B92+1)*B89)</f>
        <v/>
      </c>
      <c r="AB95" s="91"/>
      <c r="AC95" s="91"/>
      <c r="AD95" s="91"/>
      <c r="AE95" s="91"/>
      <c r="AF95" s="91"/>
      <c r="AG95" s="91"/>
      <c r="AH95" s="91"/>
      <c r="AI95" s="91"/>
      <c r="AJ95" s="91"/>
    </row>
    <row r="96" spans="1:38" hidden="1">
      <c r="A96" s="91"/>
      <c r="B96" s="91"/>
      <c r="C96" s="91"/>
      <c r="D96" s="91"/>
      <c r="E96" s="91"/>
      <c r="F96" s="91"/>
      <c r="G96" s="50" t="str">
        <f>IF(OR(NOT(F89),(COLUMN()-3)-(B91+4)&lt;0,(B91+4+B92) - (COLUMN()-2) &lt;0),"",F89*(1-B90)/(B92+1)*B89)</f>
        <v/>
      </c>
      <c r="H96" s="50" t="str">
        <f>IF(OR(NOT(F89),(COLUMN()-3)-(B91+4)&lt;0,(B91+4+B92) - (COLUMN()-2) &lt;0),"",F89*(1-B90)/(B92+1)*B89)</f>
        <v/>
      </c>
      <c r="I96" s="50" t="str">
        <f>IF(OR(NOT(F89),(COLUMN()-3)-(B91+4)&lt;0,(B91+4+B92) - (COLUMN()-2) &lt;0),"",F89*(1-B90)/(B92+1)*B89)</f>
        <v/>
      </c>
      <c r="J96" s="50" t="str">
        <f>IF(OR(NOT(F89),(COLUMN()-3)-(B91+4)&lt;0,(B91+4+B92) - (COLUMN()-2) &lt;0),"",F89*(1-B90)/(B92+1)*B89)</f>
        <v/>
      </c>
      <c r="K96" s="50" t="str">
        <f>IF(OR(NOT(F89),(COLUMN()-3)-(B91+4)&lt;0,(B91+4+B92) - (COLUMN()-2) &lt;0),"",F89*(1-B90)/(B92+1)*B89)</f>
        <v/>
      </c>
      <c r="L96" s="50" t="str">
        <f>IF(OR(NOT(F89),(COLUMN()-3)-(B91+4)&lt;0,(B91+4+B92) - (COLUMN()-2) &lt;0),"",F89*(1-B90)/(B92+1)*B89)</f>
        <v/>
      </c>
      <c r="M96" s="50" t="str">
        <f>IF(OR(NOT(F89),(COLUMN()-3)-(B91+4)&lt;0,(B91+4+B92) - (COLUMN()-2) &lt;0),"",F89*(1-B90)/(B92+1)*B89)</f>
        <v/>
      </c>
      <c r="N96" s="50" t="str">
        <f>IF(OR(NOT(F89),(COLUMN()-3)-(B91+4)&lt;0,(B91+4+B92) - (COLUMN()-2) &lt;0),"",F89*(1-B90)/(B92+1)*B89)</f>
        <v/>
      </c>
      <c r="O96" s="55" t="str">
        <f>IF(OR(NOT(F89),(COLUMN()-3)-(B91+4)&lt;0,(B91+4+B92) - (COLUMN()-2) &lt;0),"",F89*(1-B90)/(B92+1)*B89)</f>
        <v/>
      </c>
      <c r="P96" s="55" t="str">
        <f>IF(OR(NOT(F89),(COLUMN()-3)-(B91+4)&lt;0,(B91+4+B92) - (COLUMN()-2) &lt;0),"",F89*(1-B90)/(B92+1)*B89)</f>
        <v/>
      </c>
      <c r="Q96" s="55" t="str">
        <f>IF(OR(NOT(F89),(COLUMN()-3)-(B91+4)&lt;0,(B91+4+B92) - (COLUMN()-2) &lt;0),"",F89*(1-B90)/(B92+1)*B89)</f>
        <v/>
      </c>
      <c r="R96" s="55" t="str">
        <f>IF(OR(NOT(F89),(COLUMN()-3)-(B91+4)&lt;0,(B91+4+B92) - (COLUMN()-2) &lt;0),"",F89*(1-B90)/(B92+1)*B89)</f>
        <v/>
      </c>
      <c r="S96" s="55" t="str">
        <f>IF(OR(NOT(F89),(COLUMN()-3)-(B91+4)&lt;0,(B91+4+B92) - (COLUMN()-2) &lt;0),"",F89*(1-B90)/(B92+1)*B89)</f>
        <v/>
      </c>
      <c r="T96" s="55" t="str">
        <f>IF(OR(NOT(F89),(COLUMN()-3)-(B91+4)&lt;0,(B91+4+B92) - (COLUMN()-2) &lt;0),"",F89*(1-B90)/(B92+1)*B89)</f>
        <v/>
      </c>
      <c r="U96" s="55" t="str">
        <f>IF(OR(NOT(F89),(COLUMN()-3)-(B91+4)&lt;0,(B91+4+B92) - (COLUMN()-2) &lt;0),"",F89*(1-B90)/(B92+1)*B89)</f>
        <v/>
      </c>
      <c r="V96" s="55" t="str">
        <f>IF(OR(NOT(F89),(COLUMN()-3)-(B91+4)&lt;0,(B91+4+B92) - (COLUMN()-2) &lt;0),"",F89*(1-B90)/(B92+1)*B89)</f>
        <v/>
      </c>
      <c r="W96" s="55" t="str">
        <f>IF(OR(NOT(F89),(COLUMN()-3)-(B91+4)&lt;0,(B91+4+B92) - (COLUMN()-2) &lt;0),"",F89*(1-B90)/(B92+1)*B89)</f>
        <v/>
      </c>
      <c r="X96" s="55" t="str">
        <f>IF(OR(NOT(F89),(COLUMN()-3)-(B91+4)&lt;0,(B91+4+B92) - (COLUMN()-2) &lt;0),"",F89*(1-B90)/(B92+1)*B89)</f>
        <v/>
      </c>
      <c r="Y96" s="55" t="str">
        <f>IF(OR(NOT(F89),(COLUMN()-3)-(B91+4)&lt;0,(B91+4+B92) - (COLUMN()-2) &lt;0),"",F89*(1-B90)/(B92+1)*B89)</f>
        <v/>
      </c>
      <c r="Z96" s="55" t="str">
        <f>IF(OR(NOT(F89),(COLUMN()-3)-(B91+4)&lt;0,(B91+4+B92) - (COLUMN()-2) &lt;0),"",F89*(1-B90)/(B92+1)*B89)</f>
        <v/>
      </c>
      <c r="AA96" s="56" t="str">
        <f>IF(OR(NOT(F89),(COLUMN()-3)-(B91+4)&lt;0,(B91+4+B92) - (COLUMN()-2) &lt;0),"",F89*(1-B90)/(B92+1)*B89)</f>
        <v/>
      </c>
      <c r="AB96" s="56" t="str">
        <f>IF(OR(NOT(F89),(COLUMN()-3)-(B91+4)&lt;0,(B91+4+B92) - (COLUMN()-2) &lt;0),"",F89*(1-B90)/(B92+1)*B89)</f>
        <v/>
      </c>
      <c r="AC96" s="91"/>
      <c r="AD96" s="91"/>
      <c r="AE96" s="91"/>
      <c r="AF96" s="91"/>
      <c r="AG96" s="91"/>
      <c r="AH96" s="91"/>
      <c r="AI96" s="91"/>
      <c r="AJ96" s="91"/>
    </row>
    <row r="97" spans="1:36" hidden="1">
      <c r="A97" s="91"/>
      <c r="B97" s="91"/>
      <c r="C97" s="91"/>
      <c r="D97" s="91"/>
      <c r="E97" s="91"/>
      <c r="F97" s="91"/>
      <c r="G97" s="91"/>
      <c r="H97" s="50" t="str">
        <f>IF(OR(NOT(G89),(COLUMN()-3)-(B91+5)&lt;0,(B91+5+B92) - (COLUMN()-2) &lt;0),"",G89*(1-B90)/(B92+1)*B89)</f>
        <v/>
      </c>
      <c r="I97" s="50" t="str">
        <f>IF(OR(NOT(G89),(COLUMN()-3)-(B91+5)&lt;0,(B91+5+B92) - (COLUMN()-2) &lt;0),"",G89*(1-B90)/(B92+1)*B89)</f>
        <v/>
      </c>
      <c r="J97" s="50" t="str">
        <f>IF(OR(NOT(G89),(COLUMN()-3)-(B91+5)&lt;0,(B91+5+B92) - (COLUMN()-2) &lt;0),"",G89*(1-B90)/(B92+1)*B89)</f>
        <v/>
      </c>
      <c r="K97" s="50" t="str">
        <f>IF(OR(NOT(G89),(COLUMN()-3)-(B91+5)&lt;0,(B91+5+B92) - (COLUMN()-2) &lt;0),"",G89*(1-B90)/(B92+1)*B89)</f>
        <v/>
      </c>
      <c r="L97" s="50" t="str">
        <f>IF(OR(NOT(G89),(COLUMN()-3)-(B91+5)&lt;0,(B91+5+B92) - (COLUMN()-2) &lt;0),"",G89*(1-B90)/(B92+1)*B89)</f>
        <v/>
      </c>
      <c r="M97" s="50" t="str">
        <f>IF(OR(NOT(G89),(COLUMN()-3)-(B91+5)&lt;0,(B91+5+B92) - (COLUMN()-2) &lt;0),"",G89*(1-B90)/(B92+1)*B89)</f>
        <v/>
      </c>
      <c r="N97" s="50" t="str">
        <f>IF(OR(NOT(G89),(COLUMN()-3)-(B91+5)&lt;0,(B91+5+B92) - (COLUMN()-2) &lt;0),"",G89*(1-B90)/(B92+1)*B89)</f>
        <v/>
      </c>
      <c r="O97" s="55" t="str">
        <f>IF(OR(NOT(G89),(COLUMN()-3)-(B91+5)&lt;0,(B91+5+B92) - (COLUMN()-2) &lt;0),"",G89*(1-B90)/(B92+1)*B89)</f>
        <v/>
      </c>
      <c r="P97" s="55" t="str">
        <f>IF(OR(NOT(G89),(COLUMN()-3)-(B91+5)&lt;0,(B91+5+B92) - (COLUMN()-2) &lt;0),"",G89*(1-B90)/(B92+1)*B89)</f>
        <v/>
      </c>
      <c r="Q97" s="55" t="str">
        <f>IF(OR(NOT(G89),(COLUMN()-3)-(B91+5)&lt;0,(B91+5+B92) - (COLUMN()-2) &lt;0),"",G89*(1-B90)/(B92+1)*B89)</f>
        <v/>
      </c>
      <c r="R97" s="55" t="str">
        <f>IF(OR(NOT(G89),(COLUMN()-3)-(B91+5)&lt;0,(B91+5+B92) - (COLUMN()-2) &lt;0),"",G89*(1-B90)/(B92+1)*B89)</f>
        <v/>
      </c>
      <c r="S97" s="55" t="str">
        <f>IF(OR(NOT(G89),(COLUMN()-3)-(B91+5)&lt;0,(B91+5+B92) - (COLUMN()-2) &lt;0),"",G89*(1-B90)/(B92+1)*B89)</f>
        <v/>
      </c>
      <c r="T97" s="55" t="str">
        <f>IF(OR(NOT(G89),(COLUMN()-3)-(B91+5)&lt;0,(B91+5+B92) - (COLUMN()-2) &lt;0),"",G89*(1-B90)/(B92+1)*B89)</f>
        <v/>
      </c>
      <c r="U97" s="55" t="str">
        <f>IF(OR(NOT(G89),(COLUMN()-3)-(B91+5)&lt;0,(B91+5+B92) - (COLUMN()-2) &lt;0),"",G89*(1-B90)/(B92+1)*B89)</f>
        <v/>
      </c>
      <c r="V97" s="55" t="str">
        <f>IF(OR(NOT(G89),(COLUMN()-3)-(B91+5)&lt;0,(B91+5+B92) - (COLUMN()-2) &lt;0),"",G89*(1-B90)/(B92+1)*B89)</f>
        <v/>
      </c>
      <c r="W97" s="55" t="str">
        <f>IF(OR(NOT(G89),(COLUMN()-3)-(B91+5)&lt;0,(B91+5+B92) - (COLUMN()-2) &lt;0),"",G89*(1-B90)/(B92+1)*B89)</f>
        <v/>
      </c>
      <c r="X97" s="55" t="str">
        <f>IF(OR(NOT(G89),(COLUMN()-3)-(B91+5)&lt;0,(B91+5+B92) - (COLUMN()-2) &lt;0),"",G89*(1-B90)/(B92+1)*B89)</f>
        <v/>
      </c>
      <c r="Y97" s="55" t="str">
        <f>IF(OR(NOT(G89),(COLUMN()-3)-(B91+5)&lt;0,(B91+5+B92) - (COLUMN()-2) &lt;0),"",G89*(1-B90)/(B92+1)*B89)</f>
        <v/>
      </c>
      <c r="Z97" s="55" t="str">
        <f>IF(OR(NOT(G89),(COLUMN()-3)-(B91+5)&lt;0,(B91+5+B92) - (COLUMN()-2) &lt;0),"",G89*(1-B90)/(B92+1)*B89)</f>
        <v/>
      </c>
      <c r="AA97" s="56" t="str">
        <f>IF(OR(NOT(G89),(COLUMN()-3)-(B91+5)&lt;0,(B91+5+B92) - (COLUMN()-2) &lt;0),"",G89*(1-B90)/(B92+1)*B89)</f>
        <v/>
      </c>
      <c r="AB97" s="56" t="str">
        <f>IF(OR(NOT(G89),(COLUMN()-3)-(B91+5)&lt;0,(B91+5+B92) - (COLUMN()-2) &lt;0),"",G89*(1-B90)/(B92+1)*B89)</f>
        <v/>
      </c>
      <c r="AC97" s="56" t="str">
        <f>IF(OR(NOT(G89),(COLUMN()-3)-(B91+5)&lt;0,(B91+5+B92) - (COLUMN()-2) &lt;0),"",G89*(1-B90)/(B92+1)*B89)</f>
        <v/>
      </c>
      <c r="AD97" s="91"/>
      <c r="AE97" s="91"/>
      <c r="AF97" s="91"/>
      <c r="AG97" s="91"/>
      <c r="AH97" s="91"/>
      <c r="AI97" s="91"/>
      <c r="AJ97" s="91"/>
    </row>
    <row r="98" spans="1:36" hidden="1">
      <c r="A98" s="91"/>
      <c r="B98" s="91"/>
      <c r="C98" s="91"/>
      <c r="D98" s="91"/>
      <c r="E98" s="91"/>
      <c r="F98" s="91"/>
      <c r="G98" s="91"/>
      <c r="H98" s="91"/>
      <c r="I98" s="50" t="str">
        <f>IF(OR(NOT(H89),(COLUMN()-3)-(B91+6)&lt;0,(B91+6+B92) - (COLUMN()-2) &lt;0),"",H89*(1-B90)/(B92+1)*B89)</f>
        <v/>
      </c>
      <c r="J98" s="50" t="str">
        <f>IF(OR(NOT(H89),(COLUMN()-3)-(B91+6)&lt;0,(B91+6+B92) - (COLUMN()-2) &lt;0),"",H89*(1-B90)/(B92+1)*B89)</f>
        <v/>
      </c>
      <c r="K98" s="50" t="str">
        <f>IF(OR(NOT(H89),(COLUMN()-3)-(B91+6)&lt;0,(B91+6+B92) - (COLUMN()-2) &lt;0),"",H89*(1-B90)/(B92+1)*B89)</f>
        <v/>
      </c>
      <c r="L98" s="50" t="str">
        <f>IF(OR(NOT(H89),(COLUMN()-3)-(B91+6)&lt;0,(B91+6+B92) - (COLUMN()-2) &lt;0),"",H89*(1-B90)/(B92+1)*B89)</f>
        <v/>
      </c>
      <c r="M98" s="50" t="str">
        <f>IF(OR(NOT(H89),(COLUMN()-3)-(B91+6)&lt;0,(B91+6+B92) - (COLUMN()-2) &lt;0),"",H89*(1-B90)/(B92+1)*B89)</f>
        <v/>
      </c>
      <c r="N98" s="50" t="str">
        <f>IF(OR(NOT(H89),(COLUMN()-3)-(B91+6)&lt;0,(B91+6+B92) - (COLUMN()-2) &lt;0),"",H89*(1-B90)/(B92+1)*B89)</f>
        <v/>
      </c>
      <c r="O98" s="55" t="str">
        <f>IF(OR(NOT(H89),(COLUMN()-3)-(B91+6)&lt;0,(B91+6+B92) - (COLUMN()-2) &lt;0),"",H89*(1-B90)/(B92+1)*B89)</f>
        <v/>
      </c>
      <c r="P98" s="55" t="str">
        <f>IF(OR(NOT(H89),(COLUMN()-3)-(B91+6)&lt;0,(B91+6+B92) - (COLUMN()-2) &lt;0),"",H89*(1-B90)/(B92+1)*B89)</f>
        <v/>
      </c>
      <c r="Q98" s="55" t="str">
        <f>IF(OR(NOT(H89),(COLUMN()-3)-(B91+6)&lt;0,(B91+6+B92) - (COLUMN()-2) &lt;0),"",H89*(1-B90)/(B92+1)*B89)</f>
        <v/>
      </c>
      <c r="R98" s="55" t="str">
        <f>IF(OR(NOT(H89),(COLUMN()-3)-(B91+6)&lt;0,(B91+6+B92) - (COLUMN()-2) &lt;0),"",H89*(1-B90)/(B92+1)*B89)</f>
        <v/>
      </c>
      <c r="S98" s="55" t="str">
        <f>IF(OR(NOT(H89),(COLUMN()-3)-(B91+6)&lt;0,(B91+6+B92) - (COLUMN()-2) &lt;0),"",H89*(1-B90)/(B92+1)*B89)</f>
        <v/>
      </c>
      <c r="T98" s="55" t="str">
        <f>IF(OR(NOT(H89),(COLUMN()-3)-(B91+6)&lt;0,(B91+6+B92) - (COLUMN()-2) &lt;0),"",H89*(1-B90)/(B92+1)*B89)</f>
        <v/>
      </c>
      <c r="U98" s="55" t="str">
        <f>IF(OR(NOT(H89),(COLUMN()-3)-(B91+6)&lt;0,(B91+6+B92) - (COLUMN()-2) &lt;0),"",H89*(1-B90)/(B92+1)*B89)</f>
        <v/>
      </c>
      <c r="V98" s="55" t="str">
        <f>IF(OR(NOT(H89),(COLUMN()-3)-(B91+6)&lt;0,(B91+6+B92) - (COLUMN()-2) &lt;0),"",H89*(1-B90)/(B92+1)*B89)</f>
        <v/>
      </c>
      <c r="W98" s="55" t="str">
        <f>IF(OR(NOT(H89),(COLUMN()-3)-(B91+6)&lt;0,(B91+6+B92) - (COLUMN()-2) &lt;0),"",H89*(1-B90)/(B92+1)*B89)</f>
        <v/>
      </c>
      <c r="X98" s="55" t="str">
        <f>IF(OR(NOT(H89),(COLUMN()-3)-(B91+6)&lt;0,(B91+6+B92) - (COLUMN()-2) &lt;0),"",H89*(1-B90)/(B92+1)*B89)</f>
        <v/>
      </c>
      <c r="Y98" s="55" t="str">
        <f>IF(OR(NOT(H89),(COLUMN()-3)-(B91+6)&lt;0,(B91+6+B92) - (COLUMN()-2) &lt;0),"",H89*(1-B90)/(B92+1)*B89)</f>
        <v/>
      </c>
      <c r="Z98" s="55" t="str">
        <f>IF(OR(NOT(H89),(COLUMN()-3)-(B91+6)&lt;0,(B91+6+B92) - (COLUMN()-2) &lt;0),"",H89*(1-B90)/(B92+1)*B89)</f>
        <v/>
      </c>
      <c r="AA98" s="56" t="str">
        <f>IF(OR(NOT(H89),(COLUMN()-3)-(B91+6)&lt;0,(B91+6+B92) - (COLUMN()-2) &lt;0),"",H89*(1-B90)/(B92+1)*B89)</f>
        <v/>
      </c>
      <c r="AB98" s="56" t="str">
        <f>IF(OR(NOT(H89),(COLUMN()-3)-(B91+6)&lt;0,(B91+6+B92) - (COLUMN()-2) &lt;0),"",H89*(1-B90)/(B92+1)*B89)</f>
        <v/>
      </c>
      <c r="AC98" s="56" t="str">
        <f>IF(OR(NOT(H89),(COLUMN()-3)-(B91+6)&lt;0,(B91+6+B92) - (COLUMN()-2) &lt;0),"",H89*(1-B90)/(B92+1)*B89)</f>
        <v/>
      </c>
      <c r="AD98" s="56" t="str">
        <f>IF(OR(NOT(H89),(COLUMN()-3)-(B91+6)&lt;0,(B91+6+B92) - (COLUMN()-2) &lt;0),"",H89*(1-B90)/(B92+1)*B89)</f>
        <v/>
      </c>
      <c r="AE98" s="91"/>
      <c r="AF98" s="91"/>
      <c r="AG98" s="91"/>
      <c r="AH98" s="91"/>
      <c r="AI98" s="91"/>
      <c r="AJ98" s="91"/>
    </row>
    <row r="99" spans="1:36" hidden="1">
      <c r="A99" s="91"/>
      <c r="B99" s="91"/>
      <c r="C99" s="91"/>
      <c r="D99" s="91"/>
      <c r="E99" s="91"/>
      <c r="F99" s="91"/>
      <c r="G99" s="91"/>
      <c r="H99" s="91"/>
      <c r="I99" s="91"/>
      <c r="J99" s="50" t="str">
        <f>IF(OR(NOT(I89),(COLUMN()-3)-(B91+7)&lt;0,(B91+7+B92) - (COLUMN()-2) &lt;0),"",I89*(1-B90)/(B92+1)*B89)</f>
        <v/>
      </c>
      <c r="K99" s="50" t="str">
        <f>IF(OR(NOT(I89),(COLUMN()-3)-(B91+7)&lt;0,(B91+7+B92) - (COLUMN()-2) &lt;0),"",I89*(1-B90)/(B92+1)*B89)</f>
        <v/>
      </c>
      <c r="L99" s="50" t="str">
        <f>IF(OR(NOT(I89),(COLUMN()-3)-(B91+7)&lt;0,(B91+7+B92) - (COLUMN()-2) &lt;0),"",I89*(1-B90)/(B92+1)*B89)</f>
        <v/>
      </c>
      <c r="M99" s="50" t="str">
        <f>IF(OR(NOT(I89),(COLUMN()-3)-(B91+7)&lt;0,(B91+7+B92) - (COLUMN()-2) &lt;0),"",I89*(1-B90)/(B92+1)*B89)</f>
        <v/>
      </c>
      <c r="N99" s="50" t="str">
        <f>IF(OR(NOT(I89),(COLUMN()-3)-(B91+7)&lt;0,(B91+7+B92) - (COLUMN()-2) &lt;0),"",I89*(1-B90)/(B92+1)*B89)</f>
        <v/>
      </c>
      <c r="O99" s="55" t="str">
        <f>IF(OR(NOT(I89),(COLUMN()-3)-(B91+7)&lt;0,(B91+7+B92) - (COLUMN()-2) &lt;0),"",I89*(1-B90)/(B92+1)*B89)</f>
        <v/>
      </c>
      <c r="P99" s="55" t="str">
        <f>IF(OR(NOT(I89),(COLUMN()-3)-(B91+7)&lt;0,(B91+7+B92) - (COLUMN()-2) &lt;0),"",I89*(1-B90)/(B92+1)*B89)</f>
        <v/>
      </c>
      <c r="Q99" s="55" t="str">
        <f>IF(OR(NOT(I89),(COLUMN()-3)-(B91+7)&lt;0,(B91+7+B92) - (COLUMN()-2) &lt;0),"",I89*(1-B90)/(B92+1)*B89)</f>
        <v/>
      </c>
      <c r="R99" s="55" t="str">
        <f>IF(OR(NOT(I89),(COLUMN()-3)-(B91+7)&lt;0,(B91+7+B92) - (COLUMN()-2) &lt;0),"",I89*(1-B90)/(B92+1)*B89)</f>
        <v/>
      </c>
      <c r="S99" s="55" t="str">
        <f>IF(OR(NOT(I89),(COLUMN()-3)-(B91+7)&lt;0,(B91+7+B92) - (COLUMN()-2) &lt;0),"",I89*(1-B90)/(B92+1)*B89)</f>
        <v/>
      </c>
      <c r="T99" s="55" t="str">
        <f>IF(OR(NOT(I89),(COLUMN()-3)-(B91+7)&lt;0,(B91+7+B92) - (COLUMN()-2) &lt;0),"",I89*(1-B90)/(B92+1)*B89)</f>
        <v/>
      </c>
      <c r="U99" s="55" t="str">
        <f>IF(OR(NOT(I89),(COLUMN()-3)-(B91+7)&lt;0,(B91+7+B92) - (COLUMN()-2) &lt;0),"",I89*(1-B90)/(B92+1)*B89)</f>
        <v/>
      </c>
      <c r="V99" s="55" t="str">
        <f>IF(OR(NOT(I89),(COLUMN()-3)-(B91+7)&lt;0,(B91+7+B92) - (COLUMN()-2) &lt;0),"",I89*(1-B90)/(B92+1)*B89)</f>
        <v/>
      </c>
      <c r="W99" s="55" t="str">
        <f>IF(OR(NOT(I89),(COLUMN()-3)-(B91+7)&lt;0,(B91+7+B92) - (COLUMN()-2) &lt;0),"",I89*(1-B90)/(B92+1)*B89)</f>
        <v/>
      </c>
      <c r="X99" s="55" t="str">
        <f>IF(OR(NOT(I89),(COLUMN()-3)-(B91+7)&lt;0,(B91+7+B92) - (COLUMN()-2) &lt;0),"",I89*(1-B90)/(B92+1)*B89)</f>
        <v/>
      </c>
      <c r="Y99" s="55" t="str">
        <f>IF(OR(NOT(I89),(COLUMN()-3)-(B91+7)&lt;0,(B91+7+B92) - (COLUMN()-2) &lt;0),"",I89*(1-B90)/(B92+1)*B89)</f>
        <v/>
      </c>
      <c r="Z99" s="55" t="str">
        <f>IF(OR(NOT(I89),(COLUMN()-3)-(B91+7)&lt;0,(B91+7+B92) - (COLUMN()-2) &lt;0),"",I89*(1-B90)/(B92+1)*B89)</f>
        <v/>
      </c>
      <c r="AA99" s="56" t="str">
        <f>IF(OR(NOT(I89),(COLUMN()-3)-(B91+7)&lt;0,(B91+7+B92) - (COLUMN()-2) &lt;0),"",I89*(1-B90)/(B92+1)*B89)</f>
        <v/>
      </c>
      <c r="AB99" s="56" t="str">
        <f>IF(OR(NOT(I89),(COLUMN()-3)-(B91+7)&lt;0,(B91+7+B92) - (COLUMN()-2) &lt;0),"",I89*(1-B90)/(B92+1)*B89)</f>
        <v/>
      </c>
      <c r="AC99" s="56" t="str">
        <f>IF(OR(NOT(I89),(COLUMN()-3)-(B91+7)&lt;0,(B91+7+B92) - (COLUMN()-2) &lt;0),"",I89*(1-B90)/(B92+1)*B89)</f>
        <v/>
      </c>
      <c r="AD99" s="56" t="str">
        <f>IF(OR(NOT(I89),(COLUMN()-3)-(B91+7)&lt;0,(B91+7+B92) - (COLUMN()-2) &lt;0),"",I89*(1-B90)/(B92+1)*B89)</f>
        <v/>
      </c>
      <c r="AE99" s="56" t="str">
        <f>IF(OR(NOT(I89),(COLUMN()-3)-(B91+7)&lt;0,(B91+7+B92) - (COLUMN()-2) &lt;0),"",I89*(1-B90)/(B92+1)*B89)</f>
        <v/>
      </c>
      <c r="AF99" s="91"/>
      <c r="AG99" s="91"/>
      <c r="AH99" s="91"/>
      <c r="AI99" s="91"/>
      <c r="AJ99" s="91"/>
    </row>
    <row r="100" spans="1:36" hidden="1">
      <c r="A100" s="91"/>
      <c r="B100" s="91"/>
      <c r="C100" s="91"/>
      <c r="D100" s="91"/>
      <c r="E100" s="91"/>
      <c r="F100" s="91"/>
      <c r="G100" s="91"/>
      <c r="H100" s="91"/>
      <c r="I100" s="91"/>
      <c r="J100" s="91"/>
      <c r="K100" s="50" t="str">
        <f>IF(OR(NOT(J89),(COLUMN()-3)-(B91+8)&lt;0,(B91+8+B92) - (COLUMN()-2) &lt;0),"",J89*(1-B90)/(B92+1)*B89)</f>
        <v/>
      </c>
      <c r="L100" s="50" t="str">
        <f>IF(OR(NOT(J89),(COLUMN()-3)-(B91+8)&lt;0,(B91+8+B92) - (COLUMN()-2) &lt;0),"",J89*(1-B90)/(B92+1)*B89)</f>
        <v/>
      </c>
      <c r="M100" s="50" t="str">
        <f>IF(OR(NOT(J89),(COLUMN()-3)-(B91+8)&lt;0,(B91+8+B92) - (COLUMN()-2) &lt;0),"",J89*(1-B90)/(B92+1)*B89)</f>
        <v/>
      </c>
      <c r="N100" s="50" t="str">
        <f>IF(OR(NOT(J89),(COLUMN()-3)-(B91+8)&lt;0,(B91+8+B92) - (COLUMN()-2) &lt;0),"",J89*(1-B90)/(B92+1)*B89)</f>
        <v/>
      </c>
      <c r="O100" s="55" t="str">
        <f>IF(OR(NOT(J89),(COLUMN()-3)-(B91+8)&lt;0,(B91+8+B92) - (COLUMN()-2) &lt;0),"",J89*(1-B90)/(B92+1)*B89)</f>
        <v/>
      </c>
      <c r="P100" s="55" t="str">
        <f>IF(OR(NOT(J89),(COLUMN()-3)-(B91+8)&lt;0,(B91+8+B92) - (COLUMN()-2) &lt;0),"",J89*(1-B90)/(B92+1)*B89)</f>
        <v/>
      </c>
      <c r="Q100" s="55" t="str">
        <f>IF(OR(NOT(J89),(COLUMN()-3)-(B91+8)&lt;0,(B91+8+B92) - (COLUMN()-2) &lt;0),"",J89*(1-B90)/(B92+1)*B89)</f>
        <v/>
      </c>
      <c r="R100" s="55" t="str">
        <f>IF(OR(NOT(J89),(COLUMN()-3)-(B91+8)&lt;0,(B91+8+B92) - (COLUMN()-2) &lt;0),"",J89*(1-B90)/(B92+1)*B89)</f>
        <v/>
      </c>
      <c r="S100" s="55" t="str">
        <f>IF(OR(NOT(J89),(COLUMN()-3)-(B91+8)&lt;0,(B91+8+B92) - (COLUMN()-2) &lt;0),"",J89*(1-B90)/(B92+1)*B89)</f>
        <v/>
      </c>
      <c r="T100" s="55" t="str">
        <f>IF(OR(NOT(J89),(COLUMN()-3)-(B91+8)&lt;0,(B91+8+B92) - (COLUMN()-2) &lt;0),"",J89*(1-B90)/(B92+1)*B89)</f>
        <v/>
      </c>
      <c r="U100" s="55" t="str">
        <f>IF(OR(NOT(J89),(COLUMN()-3)-(B91+8)&lt;0,(B91+8+B92) - (COLUMN()-2) &lt;0),"",J89*(1-B90)/(B92+1)*B89)</f>
        <v/>
      </c>
      <c r="V100" s="55" t="str">
        <f>IF(OR(NOT(J89),(COLUMN()-3)-(B91+8)&lt;0,(B91+8+B92) - (COLUMN()-2) &lt;0),"",J89*(1-B90)/(B92+1)*B89)</f>
        <v/>
      </c>
      <c r="W100" s="55" t="str">
        <f>IF(OR(NOT(J89),(COLUMN()-3)-(B91+8)&lt;0,(B91+8+B92) - (COLUMN()-2) &lt;0),"",J89*(1-B90)/(B92+1)*B89)</f>
        <v/>
      </c>
      <c r="X100" s="55" t="str">
        <f>IF(OR(NOT(J89),(COLUMN()-3)-(B91+8)&lt;0,(B91+8+B92) - (COLUMN()-2) &lt;0),"",J89*(1-B90)/(B92+1)*B89)</f>
        <v/>
      </c>
      <c r="Y100" s="55" t="str">
        <f>IF(OR(NOT(J89),(COLUMN()-3)-(B91+8)&lt;0,(B91+8+B92) - (COLUMN()-2) &lt;0),"",J89*(1-B90)/(B92+1)*B89)</f>
        <v/>
      </c>
      <c r="Z100" s="55" t="str">
        <f>IF(OR(NOT(J89),(COLUMN()-3)-(B91+8)&lt;0,(B91+8+B92) - (COLUMN()-2) &lt;0),"",J89*(1-B90)/(B92+1)*B89)</f>
        <v/>
      </c>
      <c r="AA100" s="56" t="str">
        <f>IF(OR(NOT(J89),(COLUMN()-3)-(B91+8)&lt;0,(B91+8+B92) - (COLUMN()-2) &lt;0),"",J89*(1-B90)/(B92+1)*B89)</f>
        <v/>
      </c>
      <c r="AB100" s="56" t="str">
        <f>IF(OR(NOT(J89),(COLUMN()-3)-(B91+8)&lt;0,(B91+8+B92) - (COLUMN()-2) &lt;0),"",J89*(1-B90)/(B92+1)*B89)</f>
        <v/>
      </c>
      <c r="AC100" s="56" t="str">
        <f>IF(OR(NOT(J89),(COLUMN()-3)-(B91+8)&lt;0,(B91+8+B92) - (COLUMN()-2) &lt;0),"",J89*(1-B90)/(B92+1)*B89)</f>
        <v/>
      </c>
      <c r="AD100" s="56" t="str">
        <f>IF(OR(NOT(J89),(COLUMN()-3)-(B91+8)&lt;0,(B91+8+B92) - (COLUMN()-2) &lt;0),"",J89*(1-B90)/(B92+1)*B89)</f>
        <v/>
      </c>
      <c r="AE100" s="56" t="str">
        <f>IF(OR(NOT(J89),(COLUMN()-3)-(B91+8)&lt;0,(B91+8+B92) - (COLUMN()-2) &lt;0),"",J89*(1-B90)/(B92+1)*B89)</f>
        <v/>
      </c>
      <c r="AF100" s="56" t="str">
        <f>IF(OR(NOT(J89),(COLUMN()-3)-(B91+8)&lt;0,(B91+8+B92) - (COLUMN()-2) &lt;0),"",J89*(1-B90)/(B92+1)*B89)</f>
        <v/>
      </c>
      <c r="AG100" s="91"/>
      <c r="AH100" s="91"/>
      <c r="AI100" s="91"/>
      <c r="AJ100" s="91"/>
    </row>
    <row r="101" spans="1:36" hidden="1">
      <c r="A101" s="91"/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50" t="str">
        <f>IF(OR(NOT(K89),(COLUMN()-3)-(B91+9)&lt;0,(B91+9+B92) - (COLUMN()-2) &lt;0),"",K89*(1-B90)/(B92+1)*B89)</f>
        <v/>
      </c>
      <c r="M101" s="50" t="str">
        <f>IF(OR(NOT(K89),(COLUMN()-3)-(B91+9)&lt;0,(B91+9+B92) - (COLUMN()-2) &lt;0),"",K89*(1-B90)/(B92+1)*B89)</f>
        <v/>
      </c>
      <c r="N101" s="50" t="str">
        <f>IF(OR(NOT(K89),(COLUMN()-3)-(B91+9)&lt;0,(B91+9+B92) - (COLUMN()-2) &lt;0),"",K89*(1-B90)/(B92+1)*B89)</f>
        <v/>
      </c>
      <c r="O101" s="55" t="str">
        <f>IF(OR(NOT(K89),(COLUMN()-3)-(B91+9)&lt;0,(B91+9+B92) - (COLUMN()-2) &lt;0),"",K89*(1-B90)/(B92+1)*B89)</f>
        <v/>
      </c>
      <c r="P101" s="55" t="str">
        <f>IF(OR(NOT(K89),(COLUMN()-3)-(B91+9)&lt;0,(B91+9+B92) - (COLUMN()-2) &lt;0),"",K89*(1-B90)/(B92+1)*B89)</f>
        <v/>
      </c>
      <c r="Q101" s="55" t="str">
        <f>IF(OR(NOT(K89),(COLUMN()-3)-(B91+9)&lt;0,(B91+9+B92) - (COLUMN()-2) &lt;0),"",K89*(1-B90)/(B92+1)*B89)</f>
        <v/>
      </c>
      <c r="R101" s="55" t="str">
        <f>IF(OR(NOT(K89),(COLUMN()-3)-(B91+9)&lt;0,(B91+9+B92) - (COLUMN()-2) &lt;0),"",K89*(1-B90)/(B92+1)*B89)</f>
        <v/>
      </c>
      <c r="S101" s="55" t="str">
        <f>IF(OR(NOT(K89),(COLUMN()-3)-(B91+9)&lt;0,(B91+9+B92) - (COLUMN()-2) &lt;0),"",K89*(1-B90)/(B92+1)*B89)</f>
        <v/>
      </c>
      <c r="T101" s="55" t="str">
        <f>IF(OR(NOT(K89),(COLUMN()-3)-(B91+9)&lt;0,(B91+9+B92) - (COLUMN()-2) &lt;0),"",K89*(1-B90)/(B92+1)*B89)</f>
        <v/>
      </c>
      <c r="U101" s="55" t="str">
        <f>IF(OR(NOT(K89),(COLUMN()-3)-(B91+9)&lt;0,(B91+9+B92) - (COLUMN()-2) &lt;0),"",K89*(1-B90)/(B92+1)*B89)</f>
        <v/>
      </c>
      <c r="V101" s="55" t="str">
        <f>IF(OR(NOT(K89),(COLUMN()-3)-(B91+9)&lt;0,(B91+9+B92) - (COLUMN()-2) &lt;0),"",K89*(1-B90)/(B92+1)*B89)</f>
        <v/>
      </c>
      <c r="W101" s="55" t="str">
        <f>IF(OR(NOT(K89),(COLUMN()-3)-(B91+9)&lt;0,(B91+9+B92) - (COLUMN()-2) &lt;0),"",K89*(1-B90)/(B92+1)*B89)</f>
        <v/>
      </c>
      <c r="X101" s="55" t="str">
        <f>IF(OR(NOT(K89),(COLUMN()-3)-(B91+9)&lt;0,(B91+9+B92) - (COLUMN()-2) &lt;0),"",K89*(1-B90)/(B92+1)*B89)</f>
        <v/>
      </c>
      <c r="Y101" s="55" t="str">
        <f>IF(OR(NOT(K89),(COLUMN()-3)-(B91+9)&lt;0,(B91+9+B92) - (COLUMN()-2) &lt;0),"",K89*(1-B90)/(B92+1)*B89)</f>
        <v/>
      </c>
      <c r="Z101" s="55" t="str">
        <f>IF(OR(NOT(K89),(COLUMN()-3)-(B91+9)&lt;0,(B91+9+B92) - (COLUMN()-2) &lt;0),"",K89*(1-B90)/(B92+1)*B89)</f>
        <v/>
      </c>
      <c r="AA101" s="56" t="str">
        <f>IF(OR(NOT(K89),(COLUMN()-3)-(B91+9)&lt;0,(B91+9+B92) - (COLUMN()-2) &lt;0),"",K89*(1-B90)/(B92+1)*B89)</f>
        <v/>
      </c>
      <c r="AB101" s="56" t="str">
        <f>IF(OR(NOT(K89),(COLUMN()-3)-(B91+9)&lt;0,(B91+9+B92) - (COLUMN()-2) &lt;0),"",K89*(1-B90)/(B92+1)*B89)</f>
        <v/>
      </c>
      <c r="AC101" s="56" t="str">
        <f>IF(OR(NOT(K89),(COLUMN()-3)-(B91+9)&lt;0,(B91+9+B92) - (COLUMN()-2) &lt;0),"",K89*(1-B90)/(B92+1)*B89)</f>
        <v/>
      </c>
      <c r="AD101" s="56" t="str">
        <f>IF(OR(NOT(K89),(COLUMN()-3)-(B91+9)&lt;0,(B91+9+B92) - (COLUMN()-2) &lt;0),"",K89*(1-B90)/(B92+1)*B89)</f>
        <v/>
      </c>
      <c r="AE101" s="56" t="str">
        <f>IF(OR(NOT(K89),(COLUMN()-3)-(B91+9)&lt;0,(B91+9+B92) - (COLUMN()-2) &lt;0),"",K89*(1-B90)/(B92+1)*B89)</f>
        <v/>
      </c>
      <c r="AF101" s="56" t="str">
        <f>IF(OR(NOT(K89),(COLUMN()-3)-(B91+9)&lt;0,(B91+9+B92) - (COLUMN()-2) &lt;0),"",K89*(1-B90)/(B92+1)*B89)</f>
        <v/>
      </c>
      <c r="AG101" s="56" t="str">
        <f>IF(OR(NOT(K89),(COLUMN()-3)-(B91+9)&lt;0,(B91+9+B92) - (COLUMN()-2) &lt;0),"",K89*(1-B90)/(B92+1)*B89)</f>
        <v/>
      </c>
      <c r="AH101" s="91"/>
      <c r="AI101" s="91"/>
      <c r="AJ101" s="91"/>
    </row>
    <row r="102" spans="1:36" hidden="1">
      <c r="A102" s="91"/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50" t="str">
        <f>IF(OR(NOT(L89),(COLUMN()-3)-(B91+10)&lt;0,(B91+10+B92) - (COLUMN()-2) &lt;0),"",L89*(1-B90)/(B92+1)*B89)</f>
        <v/>
      </c>
      <c r="N102" s="50" t="str">
        <f>IF(OR(NOT(L89),(COLUMN()-3)-(B91+10)&lt;0,(B91+10+B92) - (COLUMN()-2) &lt;0),"",L89*(1-B90)/(B92+1)*B89)</f>
        <v/>
      </c>
      <c r="O102" s="55" t="str">
        <f>IF(OR(NOT(L89),(COLUMN()-3)-(B91+10)&lt;0,(B91+10+B92) - (COLUMN()-2) &lt;0),"",L89*(1-B90)/(B92+1)*B89)</f>
        <v/>
      </c>
      <c r="P102" s="55" t="str">
        <f>IF(OR(NOT(L89),(COLUMN()-3)-(B91+10)&lt;0,(B91+10+B92) - (COLUMN()-2) &lt;0),"",L89*(1-B90)/(B92+1)*B89)</f>
        <v/>
      </c>
      <c r="Q102" s="55" t="str">
        <f>IF(OR(NOT(L89),(COLUMN()-3)-(B91+10)&lt;0,(B91+10+B92) - (COLUMN()-2) &lt;0),"",L89*(1-B90)/(B92+1)*B89)</f>
        <v/>
      </c>
      <c r="R102" s="55" t="str">
        <f>IF(OR(NOT(L89),(COLUMN()-3)-(B91+10)&lt;0,(B91+10+B92) - (COLUMN()-2) &lt;0),"",L89*(1-B90)/(B92+1)*B89)</f>
        <v/>
      </c>
      <c r="S102" s="55" t="str">
        <f>IF(OR(NOT(L89),(COLUMN()-3)-(B91+10)&lt;0,(B91+10+B92) - (COLUMN()-2) &lt;0),"",L89*(1-B90)/(B92+1)*B89)</f>
        <v/>
      </c>
      <c r="T102" s="55" t="str">
        <f>IF(OR(NOT(L89),(COLUMN()-3)-(B91+10)&lt;0,(B91+10+B92) - (COLUMN()-2) &lt;0),"",L89*(1-B90)/(B92+1)*B89)</f>
        <v/>
      </c>
      <c r="U102" s="55" t="str">
        <f>IF(OR(NOT(L89),(COLUMN()-3)-(B91+10)&lt;0,(B91+10+B92) - (COLUMN()-2) &lt;0),"",L89*(1-B90)/(B92+1)*B89)</f>
        <v/>
      </c>
      <c r="V102" s="55" t="str">
        <f>IF(OR(NOT(L89),(COLUMN()-3)-(B91+10)&lt;0,(B91+10+B92) - (COLUMN()-2) &lt;0),"",L89*(1-B90)/(B92+1)*B89)</f>
        <v/>
      </c>
      <c r="W102" s="55" t="str">
        <f>IF(OR(NOT(L89),(COLUMN()-3)-(B91+10)&lt;0,(B91+10+B92) - (COLUMN()-2) &lt;0),"",L89*(1-B90)/(B92+1)*B89)</f>
        <v/>
      </c>
      <c r="X102" s="55" t="str">
        <f>IF(OR(NOT(L89),(COLUMN()-3)-(B91+10)&lt;0,(B91+10+B92) - (COLUMN()-2) &lt;0),"",L89*(1-B90)/(B92+1)*B89)</f>
        <v/>
      </c>
      <c r="Y102" s="55" t="str">
        <f>IF(OR(NOT(L89),(COLUMN()-3)-(B91+10)&lt;0,(B91+10+B92) - (COLUMN()-2) &lt;0),"",L89*(1-B90)/(B92+1)*B89)</f>
        <v/>
      </c>
      <c r="Z102" s="55" t="str">
        <f>IF(OR(NOT(L89),(COLUMN()-3)-(B91+10)&lt;0,(B91+10+B92) - (COLUMN()-2) &lt;0),"",L89*(1-B90)/(B92+1)*B89)</f>
        <v/>
      </c>
      <c r="AA102" s="56" t="str">
        <f>IF(OR(NOT(L89),(COLUMN()-3)-(B91+10)&lt;0,(B91+10+B92) - (COLUMN()-2) &lt;0),"",L89*(1-B90)/(B92+1)*B89)</f>
        <v/>
      </c>
      <c r="AB102" s="56" t="str">
        <f>IF(OR(NOT(L89),(COLUMN()-3)-(B91+10)&lt;0,(B91+10+B92) - (COLUMN()-2) &lt;0),"",L89*(1-B90)/(B92+1)*B89)</f>
        <v/>
      </c>
      <c r="AC102" s="56" t="str">
        <f>IF(OR(NOT(L89),(COLUMN()-3)-(B91+10)&lt;0,(B91+10+B92) - (COLUMN()-2) &lt;0),"",L89*(1-B90)/(B92+1)*B89)</f>
        <v/>
      </c>
      <c r="AD102" s="56" t="str">
        <f>IF(OR(NOT(L89),(COLUMN()-3)-(B91+10)&lt;0,(B91+10+B92) - (COLUMN()-2) &lt;0),"",L89*(1-B90)/(B92+1)*B89)</f>
        <v/>
      </c>
      <c r="AE102" s="56" t="str">
        <f>IF(OR(NOT(L89),(COLUMN()-3)-(B91+10)&lt;0,(B91+10+B92) - (COLUMN()-2) &lt;0),"",L89*(1-B90)/(B92+1)*B89)</f>
        <v/>
      </c>
      <c r="AF102" s="56" t="str">
        <f>IF(OR(NOT(L89),(COLUMN()-3)-(B91+10)&lt;0,(B91+10+B92) - (COLUMN()-2) &lt;0),"",L89*(1-B90)/(B92+1)*B89)</f>
        <v/>
      </c>
      <c r="AG102" s="56" t="str">
        <f>IF(OR(NOT(L89),(COLUMN()-3)-(B91+10)&lt;0,(B91+10+B92) - (COLUMN()-2) &lt;0),"",L89*(1-B90)/(B92+1)*B89)</f>
        <v/>
      </c>
      <c r="AH102" s="56" t="str">
        <f>IF(OR(NOT(L89),(COLUMN()-3)-(B91+10)&lt;0,(B91+10+B92) - (COLUMN()-2) &lt;0),"",L89*(1-B90)/(B92+1)*B89)</f>
        <v/>
      </c>
      <c r="AI102" s="91"/>
      <c r="AJ102" s="91"/>
    </row>
    <row r="103" spans="1:36" hidden="1">
      <c r="A103" s="91"/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50" t="str">
        <f>IF(OR(NOT(M89),(COLUMN()-3)-(B91+11)&lt;0,(B91+11+B92) - (COLUMN()-2) &lt;0),"",M89*(1-B90)/(B92+1)*B89)</f>
        <v/>
      </c>
      <c r="O103" s="55" t="str">
        <f>IF(OR(NOT(M89),(COLUMN()-3)-(B91+11)&lt;0,(B91+11+B92) - (COLUMN()-2) &lt;0),"",M89*(1-B90)/(B92+1)*B89)</f>
        <v/>
      </c>
      <c r="P103" s="55" t="str">
        <f>IF(OR(NOT(M89),(COLUMN()-3)-(B91+11)&lt;0,(B91+11+B92) - (COLUMN()-2) &lt;0),"",M89*(1-B90)/(B92+1)*B89)</f>
        <v/>
      </c>
      <c r="Q103" s="55" t="str">
        <f>IF(OR(NOT(M89),(COLUMN()-3)-(B91+11)&lt;0,(B91+11+B92) - (COLUMN()-2) &lt;0),"",M89*(1-B90)/(B92+1)*B89)</f>
        <v/>
      </c>
      <c r="R103" s="55" t="str">
        <f>IF(OR(NOT(M89),(COLUMN()-3)-(B91+11)&lt;0,(B91+11+B92) - (COLUMN()-2) &lt;0),"",M89*(1-B90)/(B92+1)*B89)</f>
        <v/>
      </c>
      <c r="S103" s="55" t="str">
        <f>IF(OR(NOT(M89),(COLUMN()-3)-(B91+11)&lt;0,(B91+11+B92) - (COLUMN()-2) &lt;0),"",M89*(1-B90)/(B92+1)*B89)</f>
        <v/>
      </c>
      <c r="T103" s="55" t="str">
        <f>IF(OR(NOT(M89),(COLUMN()-3)-(B91+11)&lt;0,(B91+11+B92) - (COLUMN()-2) &lt;0),"",M89*(1-B90)/(B92+1)*B89)</f>
        <v/>
      </c>
      <c r="U103" s="55" t="str">
        <f>IF(OR(NOT(M89),(COLUMN()-3)-(B91+11)&lt;0,(B91+11+B92) - (COLUMN()-2) &lt;0),"",M89*(1-B90)/(B92+1)*B89)</f>
        <v/>
      </c>
      <c r="V103" s="55" t="str">
        <f>IF(OR(NOT(M89),(COLUMN()-3)-(B91+11)&lt;0,(B91+11+B92) - (COLUMN()-2) &lt;0),"",M89*(1-B90)/(B92+1)*B89)</f>
        <v/>
      </c>
      <c r="W103" s="55" t="str">
        <f>IF(OR(NOT(M89),(COLUMN()-3)-(B91+11)&lt;0,(B91+11+B92) - (COLUMN()-2) &lt;0),"",M89*(1-B90)/(B92+1)*B89)</f>
        <v/>
      </c>
      <c r="X103" s="55" t="str">
        <f>IF(OR(NOT(M89),(COLUMN()-3)-(B91+11)&lt;0,(B91+11+B92) - (COLUMN()-2) &lt;0),"",M89*(1-B90)/(B92+1)*B89)</f>
        <v/>
      </c>
      <c r="Y103" s="55" t="str">
        <f>IF(OR(NOT(M89),(COLUMN()-3)-(B91+11)&lt;0,(B91+11+B92) - (COLUMN()-2) &lt;0),"",M89*(1-B90)/(B92+1)*B89)</f>
        <v/>
      </c>
      <c r="Z103" s="55" t="str">
        <f>IF(OR(NOT(M89),(COLUMN()-3)-(B91+11)&lt;0,(B91+11+B92) - (COLUMN()-2) &lt;0),"",M89*(1-B90)/(B92+1)*B89)</f>
        <v/>
      </c>
      <c r="AA103" s="56" t="str">
        <f>IF(OR(NOT(M89),(COLUMN()-3)-(B91+11)&lt;0,(B91+11+B92) - (COLUMN()-2) &lt;0),"",M89*(1-B90)/(B92+1)*B89)</f>
        <v/>
      </c>
      <c r="AB103" s="56" t="str">
        <f>IF(OR(NOT(M89),(COLUMN()-3)-(B91+11)&lt;0,(B91+11+B92) - (COLUMN()-2) &lt;0),"",M89*(1-B90)/(B92+1)*B89)</f>
        <v/>
      </c>
      <c r="AC103" s="56" t="str">
        <f>IF(OR(NOT(M89),(COLUMN()-3)-(B91+11)&lt;0,(B91+11+B92) - (COLUMN()-2) &lt;0),"",M89*(1-B90)/(B92+1)*B89)</f>
        <v/>
      </c>
      <c r="AD103" s="56" t="str">
        <f>IF(OR(NOT(M89),(COLUMN()-3)-(B91+11)&lt;0,(B91+11+B92) - (COLUMN()-2) &lt;0),"",M89*(1-B90)/(B92+1)*B89)</f>
        <v/>
      </c>
      <c r="AE103" s="56" t="str">
        <f>IF(OR(NOT(M89),(COLUMN()-3)-(B91+11)&lt;0,(B91+11+B92) - (COLUMN()-2) &lt;0),"",M89*(1-B90)/(B92+1)*B89)</f>
        <v/>
      </c>
      <c r="AF103" s="56" t="str">
        <f>IF(OR(NOT(M89),(COLUMN()-3)-(B91+11)&lt;0,(B91+11+B92) - (COLUMN()-2) &lt;0),"",M89*(1-B90)/(B92+1)*B89)</f>
        <v/>
      </c>
      <c r="AG103" s="56" t="str">
        <f>IF(OR(NOT(M89),(COLUMN()-3)-(B91+11)&lt;0,(B91+11+B92) - (COLUMN()-2) &lt;0),"",M89*(1-B90)/(B92+1)*B89)</f>
        <v/>
      </c>
      <c r="AH103" s="56" t="str">
        <f>IF(OR(NOT(M89),(COLUMN()-3)-(B91+11)&lt;0,(B91+11+B92) - (COLUMN()-2) &lt;0),"",M89*(1-B90)/(B92+1)*B89)</f>
        <v/>
      </c>
      <c r="AI103" s="56" t="str">
        <f>IF(OR(NOT(M89),(COLUMN()-3)-(B91+11)&lt;0,(B91+11+B92) - (COLUMN()-2) &lt;0),"",M89*(1-B90)/(B92+1)*B89)</f>
        <v/>
      </c>
      <c r="AJ103" s="91"/>
    </row>
    <row r="104" spans="1:36" hidden="1">
      <c r="A104" s="91"/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55" t="str">
        <f>IF(OR(NOT(N89),(COLUMN()-3)-(B91+12)&lt;0,(B91+12+B92) - (COLUMN()-2) &lt;0),"",N89*(1-B90)/(B92+1)*B89)</f>
        <v/>
      </c>
      <c r="P104" s="55" t="str">
        <f>IF(OR(NOT(N89),(COLUMN()-3)-(B91+12)&lt;0,(B91+12+B92) - (COLUMN()-2) &lt;0),"",N89*(1-B90)/(B92+1)*B89)</f>
        <v/>
      </c>
      <c r="Q104" s="55" t="str">
        <f>IF(OR(NOT(N89),(COLUMN()-3)-(B91+12)&lt;0,(B91+12+B92) - (COLUMN()-2) &lt;0),"",N89*(1-B90)/(B92+1)*B89)</f>
        <v/>
      </c>
      <c r="R104" s="55" t="str">
        <f>IF(OR(NOT(N89),(COLUMN()-3)-(B91+12)&lt;0,(B91+12+B92) - (COLUMN()-2) &lt;0),"",N89*(1-B90)/(B92+1)*B89)</f>
        <v/>
      </c>
      <c r="S104" s="55" t="str">
        <f>IF(OR(NOT(N89),(COLUMN()-3)-(B91+12)&lt;0,(B91+12+B92) - (COLUMN()-2) &lt;0),"",N89*(1-B90)/(B92+1)*B89)</f>
        <v/>
      </c>
      <c r="T104" s="55" t="str">
        <f>IF(OR(NOT(N89),(COLUMN()-3)-(B91+12)&lt;0,(B91+12+B92) - (COLUMN()-2) &lt;0),"",N89*(1-B90)/(B92+1)*B89)</f>
        <v/>
      </c>
      <c r="U104" s="55" t="str">
        <f>IF(OR(NOT(N89),(COLUMN()-3)-(B91+12)&lt;0,(B91+12+B92) - (COLUMN()-2) &lt;0),"",N89*(1-B90)/(B92+1)*B89)</f>
        <v/>
      </c>
      <c r="V104" s="55" t="str">
        <f>IF(OR(NOT(N89),(COLUMN()-3)-(B91+12)&lt;0,(B91+12+B92) - (COLUMN()-2) &lt;0),"",N89*(1-B90)/(B92+1)*B89)</f>
        <v/>
      </c>
      <c r="W104" s="55" t="str">
        <f>IF(OR(NOT(N89),(COLUMN()-3)-(B91+12)&lt;0,(B91+12+B92) - (COLUMN()-2) &lt;0),"",N89*(1-B90)/(B92+1)*B89)</f>
        <v/>
      </c>
      <c r="X104" s="55" t="str">
        <f>IF(OR(NOT(N89),(COLUMN()-3)-(B91+12)&lt;0,(B91+12+B92) - (COLUMN()-2) &lt;0),"",N89*(1-B90)/(B92+1)*B89)</f>
        <v/>
      </c>
      <c r="Y104" s="55" t="str">
        <f>IF(OR(NOT(N89),(COLUMN()-3)-(B91+12)&lt;0,(B91+12+B92) - (COLUMN()-2) &lt;0),"",N89*(1-B90)/(B92+1)*B89)</f>
        <v/>
      </c>
      <c r="Z104" s="55" t="str">
        <f>IF(OR(NOT(N89),(COLUMN()-3)-(B91+12)&lt;0,(B91+12+B92) - (COLUMN()-2) &lt;0),"",N89*(1-B90)/(B92+1)*B89)</f>
        <v/>
      </c>
      <c r="AA104" s="56" t="str">
        <f>IF(OR(NOT(N89),(COLUMN()-3)-(B91+12)&lt;0,(B91+12+B92) - (COLUMN()-2) &lt;0),"",N89*(1-B90)/(B92+1)*B89)</f>
        <v/>
      </c>
      <c r="AB104" s="56" t="str">
        <f>IF(OR(NOT(N89),(COLUMN()-3)-(B91+12)&lt;0,(B91+12+B92) - (COLUMN()-2) &lt;0),"",N89*(1-B90)/(B92+1)*B89)</f>
        <v/>
      </c>
      <c r="AC104" s="56" t="str">
        <f>IF(OR(NOT(N89),(COLUMN()-3)-(B91+12)&lt;0,(B91+12+B92) - (COLUMN()-2) &lt;0),"",N89*(1-B90)/(B92+1)*B89)</f>
        <v/>
      </c>
      <c r="AD104" s="56" t="str">
        <f>IF(OR(NOT(N89),(COLUMN()-3)-(B91+12)&lt;0,(B91+12+B92) - (COLUMN()-2) &lt;0),"",N89*(1-B90)/(B92+1)*B89)</f>
        <v/>
      </c>
      <c r="AE104" s="56" t="str">
        <f>IF(OR(NOT(N89),(COLUMN()-3)-(B91+12)&lt;0,(B91+12+B92) - (COLUMN()-2) &lt;0),"",N89*(1-B90)/(B92+1)*B89)</f>
        <v/>
      </c>
      <c r="AF104" s="56" t="str">
        <f>IF(OR(NOT(N89),(COLUMN()-3)-(B91+12)&lt;0,(B91+12+B92) - (COLUMN()-2) &lt;0),"",N89*(1-B90)/(B92+1)*B89)</f>
        <v/>
      </c>
      <c r="AG104" s="56" t="str">
        <f>IF(OR(NOT(N89),(COLUMN()-3)-(B91+12)&lt;0,(B91+12+B92) - (COLUMN()-2) &lt;0),"",N89*(1-B90)/(B92+1)*B89)</f>
        <v/>
      </c>
      <c r="AH104" s="56" t="str">
        <f>IF(OR(NOT(N89),(COLUMN()-3)-(B91+12)&lt;0,(B91+12+B92) - (COLUMN()-2) &lt;0),"",N89*(1-B90)/(B92+1)*B89)</f>
        <v/>
      </c>
      <c r="AI104" s="56" t="str">
        <f>IF(OR(NOT(N89),(COLUMN()-3)-(B91+12)&lt;0,(B91+12+B92) - (COLUMN()-2) &lt;0),"",N89*(1-B90)/(B92+1)*B89)</f>
        <v/>
      </c>
      <c r="AJ104" s="56" t="str">
        <f>IF(OR(NOT(N89),(COLUMN()-3)-(B91+12)&lt;0,(B91+12+B92) - (COLUMN()-2) &lt;0),"",N89*(1-B90)/(B92+1)*B89)</f>
        <v/>
      </c>
    </row>
    <row r="105" spans="1:36">
      <c r="A105" s="90" t="s">
        <v>85</v>
      </c>
      <c r="B105" s="52"/>
      <c r="C105" s="92" t="str">
        <f>IF(-SUM(C90:C91)*B105,-SUM(C90:C91)*B105,"")</f>
        <v/>
      </c>
      <c r="D105" s="92" t="str">
        <f>IF(-SUM(D90:D92)*B105,-SUM(D90:D92)*B105,"")</f>
        <v/>
      </c>
      <c r="E105" s="92" t="str">
        <f>IF(-SUM(E90:E92)*B105,-SUM(E90:E92)*B105,"")</f>
        <v/>
      </c>
      <c r="F105" s="92" t="str">
        <f>IF(-SUM(F90:F92)*B105,-SUM(F90:F92)*B105,"")</f>
        <v/>
      </c>
      <c r="G105" s="92" t="str">
        <f>IF(-SUM(G90:G92)*B105,-SUM(G90:G92)*B105,"")</f>
        <v/>
      </c>
      <c r="H105" s="92" t="str">
        <f>IF(-SUM(H90:H92)*B105,-SUM(H90:H92)*B105,"")</f>
        <v/>
      </c>
      <c r="I105" s="92" t="str">
        <f>IF(-SUM(I90:I92)*B105,-SUM(I90:I92)*B105,"")</f>
        <v/>
      </c>
      <c r="J105" s="92" t="str">
        <f>IF(-SUM(J90:J92)*B105,-SUM(J90:J92)*B105,"")</f>
        <v/>
      </c>
      <c r="K105" s="92" t="str">
        <f>IF(-SUM(K90:K92)*B105,-SUM(K90:K92)*B105,"")</f>
        <v/>
      </c>
      <c r="L105" s="92" t="str">
        <f>IF(-SUM(L90:L92)*B105,-SUM(L90:L92)*B105,"")</f>
        <v/>
      </c>
      <c r="M105" s="92" t="str">
        <f>IF(-SUM(M90:M92)*B105,-SUM(M90:M92)*B105,"")</f>
        <v/>
      </c>
      <c r="N105" s="92" t="str">
        <f>IF(-SUM(N90:N92)*B105,-SUM(N90:N92)*B105,"")</f>
        <v/>
      </c>
      <c r="O105" s="92" t="str">
        <f>IF(-SUM(O91:O92)*B105,-SUM(O91:O92)*B105,"")</f>
        <v/>
      </c>
      <c r="P105" s="92" t="str">
        <f>IF(-SUM(P91:P92)*B105,-SUM(P91:P92)*B105,"")</f>
        <v/>
      </c>
      <c r="Q105" s="92" t="str">
        <f>IF(-SUM(Q91:Q92)*B105,-SUM(Q91:Q92)*B105,"")</f>
        <v/>
      </c>
      <c r="R105" s="92" t="str">
        <f>IF(-SUM(R91:R92)*B105,-SUM(R91:R92)*B105,"")</f>
        <v/>
      </c>
      <c r="S105" s="92" t="str">
        <f>IF(-SUM(S91:S92)*B105,-SUM(S91:S92)*B105,"")</f>
        <v/>
      </c>
      <c r="T105" s="92" t="str">
        <f>IF(-SUM(T91:T92)*B105,-SUM(T91:T92)*B105,"")</f>
        <v/>
      </c>
      <c r="U105" s="92" t="str">
        <f>IF(-SUM(U91:U92)*B105,-SUM(U91:U92)*B105,"")</f>
        <v/>
      </c>
      <c r="V105" s="92" t="str">
        <f>IF(-SUM(V91:V92)*B105,-SUM(V91:V92)*B105,"")</f>
        <v/>
      </c>
      <c r="W105" s="92" t="str">
        <f>IF(-SUM(W91:W92)*B105,-SUM(W91:W92)*B105,"")</f>
        <v/>
      </c>
      <c r="X105" s="92" t="str">
        <f>IF(-SUM(X91:X92)*B105,-SUM(X91:X92)*B105,"")</f>
        <v/>
      </c>
      <c r="Y105" s="92" t="str">
        <f>IF(-SUM(Y91:Y92)*B105,-SUM(Y91:Y92)*B105,"")</f>
        <v/>
      </c>
      <c r="Z105" s="92" t="str">
        <f>IF(-SUM(Z92)*B105,-Z92*B105,"")</f>
        <v/>
      </c>
      <c r="AA105" s="92" t="str">
        <f>IF(-SUM(AA92),-AA92*B105,"")</f>
        <v/>
      </c>
      <c r="AB105" s="92" t="str">
        <f>IF(-SUM(AB92)*B105,-AB92*B105,"")</f>
        <v/>
      </c>
      <c r="AC105" s="92" t="str">
        <f>IF(-SUM(AC92)*B105,-AC92*B105,"")</f>
        <v/>
      </c>
      <c r="AD105" s="92" t="str">
        <f>IF(-SUM(AD92)*B105,-AD92*B105,"")</f>
        <v/>
      </c>
      <c r="AE105" s="92" t="str">
        <f>IF(-SUM(AE92)*B105,-AE92*B105,"")</f>
        <v/>
      </c>
      <c r="AF105" s="92" t="str">
        <f>IF(-SUM(AF92)*B105,-AF92*B105,"")</f>
        <v/>
      </c>
      <c r="AG105" s="92" t="str">
        <f>IF(-SUM(AG92)*B105,-AG92*B105,"")</f>
        <v/>
      </c>
      <c r="AH105" s="92" t="str">
        <f>IF(-SUM(AH92)*B105,-AH92*B105,"")</f>
        <v/>
      </c>
      <c r="AI105" s="92" t="str">
        <f>IF(-SUM(AI92)*B105,-AI92*B105,"")</f>
        <v/>
      </c>
      <c r="AJ105" s="92" t="str">
        <f>IF(-SUM(AJ92)*B105,-AJ92*B105,"")</f>
        <v/>
      </c>
    </row>
    <row r="106" spans="1:36" ht="15" thickBot="1">
      <c r="A106" s="90" t="s">
        <v>86</v>
      </c>
      <c r="B106" s="4"/>
      <c r="C106" s="92" t="str">
        <f>IF(-B106*C89,-B106*C89,"")</f>
        <v/>
      </c>
      <c r="D106" s="92" t="str">
        <f>IF(-B106*D89,-B106*D89,"")</f>
        <v/>
      </c>
      <c r="E106" s="92" t="str">
        <f>IF(-B106*E89,-B106*E89,"")</f>
        <v/>
      </c>
      <c r="F106" s="92" t="str">
        <f>IF(-B106*F89,-B106*F89,"")</f>
        <v/>
      </c>
      <c r="G106" s="92" t="str">
        <f>IF(-B106*G89,-B106*G89,"")</f>
        <v/>
      </c>
      <c r="H106" s="92" t="str">
        <f>IF(-B106*H89,-B106*H89,"")</f>
        <v/>
      </c>
      <c r="I106" s="92" t="str">
        <f>IF(-B106*I89,-B106*I89,"")</f>
        <v/>
      </c>
      <c r="J106" s="92" t="str">
        <f>IF(-B106*J89,-B106*J89,"")</f>
        <v/>
      </c>
      <c r="K106" s="92" t="str">
        <f>IF(-B106*K89,-B106*K89,"")</f>
        <v/>
      </c>
      <c r="L106" s="92" t="str">
        <f>IF(-B106*L89,-B106*L89,"")</f>
        <v/>
      </c>
      <c r="M106" s="92" t="str">
        <f>IF(-B106*M89,-B106*M89,"")</f>
        <v/>
      </c>
      <c r="N106" s="92" t="str">
        <f>IF(-B106*N89,-B106*N89,"")</f>
        <v/>
      </c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</row>
    <row r="107" spans="1:36" ht="18.600000000000001" thickBot="1">
      <c r="B107" s="96" t="s">
        <v>87</v>
      </c>
      <c r="C107" s="98">
        <f>SUM(C90:C91)+SUM(C105:C106)</f>
        <v>0</v>
      </c>
      <c r="D107" s="93">
        <f>SUM(D90:D92)+SUM(D105:D106)</f>
        <v>0</v>
      </c>
      <c r="E107" s="93">
        <f t="shared" ref="E107" si="47">SUM(E90:E92)+SUM(E105:E106)</f>
        <v>0</v>
      </c>
      <c r="F107" s="93">
        <f t="shared" ref="F107" si="48">SUM(F90:F92)+SUM(F105:F106)</f>
        <v>0</v>
      </c>
      <c r="G107" s="93">
        <f t="shared" ref="G107" si="49">SUM(G90:G92)+SUM(G105:G106)</f>
        <v>0</v>
      </c>
      <c r="H107" s="93">
        <f t="shared" ref="H107" si="50">SUM(H90:H92)+SUM(H105:H106)</f>
        <v>0</v>
      </c>
      <c r="I107" s="93">
        <f t="shared" ref="I107" si="51">SUM(I90:I92)+SUM(I105:I106)</f>
        <v>0</v>
      </c>
      <c r="J107" s="93">
        <f t="shared" ref="J107" si="52">SUM(J90:J92)+SUM(J105:J106)</f>
        <v>0</v>
      </c>
      <c r="K107" s="93">
        <f t="shared" ref="K107" si="53">SUM(K90:K92)+SUM(K105:K106)</f>
        <v>0</v>
      </c>
      <c r="L107" s="93">
        <f t="shared" ref="L107" si="54">SUM(L90:L92)+SUM(L105:L106)</f>
        <v>0</v>
      </c>
      <c r="M107" s="93">
        <f t="shared" ref="M107" si="55">SUM(M90:M92)+SUM(M105:M106)</f>
        <v>0</v>
      </c>
      <c r="N107" s="93">
        <f t="shared" ref="N107" si="56">SUM(N90:N92)+SUM(N105:N106)</f>
        <v>0</v>
      </c>
      <c r="O107" s="138">
        <f>SUM(O91:O92)+SUM(O105)</f>
        <v>0</v>
      </c>
      <c r="P107" s="138">
        <f t="shared" ref="P107:Y107" si="57">SUM(P91:P92)+SUM(P105)</f>
        <v>0</v>
      </c>
      <c r="Q107" s="138">
        <f t="shared" si="57"/>
        <v>0</v>
      </c>
      <c r="R107" s="138">
        <f t="shared" si="57"/>
        <v>0</v>
      </c>
      <c r="S107" s="138">
        <f t="shared" si="57"/>
        <v>0</v>
      </c>
      <c r="T107" s="138">
        <f t="shared" si="57"/>
        <v>0</v>
      </c>
      <c r="U107" s="138">
        <f t="shared" si="57"/>
        <v>0</v>
      </c>
      <c r="V107" s="138">
        <f t="shared" si="57"/>
        <v>0</v>
      </c>
      <c r="W107" s="138">
        <f t="shared" si="57"/>
        <v>0</v>
      </c>
      <c r="X107" s="138">
        <f t="shared" si="57"/>
        <v>0</v>
      </c>
      <c r="Y107" s="138">
        <f t="shared" si="57"/>
        <v>0</v>
      </c>
      <c r="Z107" s="138">
        <f>SUM(Z92)+SUM(Z105)</f>
        <v>0</v>
      </c>
      <c r="AA107" s="120">
        <f t="shared" ref="AA107:AJ107" si="58">SUM(AA92)+SUM(AA105)</f>
        <v>0</v>
      </c>
      <c r="AB107" s="120">
        <f t="shared" si="58"/>
        <v>0</v>
      </c>
      <c r="AC107" s="120">
        <f t="shared" si="58"/>
        <v>0</v>
      </c>
      <c r="AD107" s="120">
        <f t="shared" si="58"/>
        <v>0</v>
      </c>
      <c r="AE107" s="120">
        <f t="shared" si="58"/>
        <v>0</v>
      </c>
      <c r="AF107" s="120">
        <f t="shared" si="58"/>
        <v>0</v>
      </c>
      <c r="AG107" s="120">
        <f t="shared" si="58"/>
        <v>0</v>
      </c>
      <c r="AH107" s="120">
        <f t="shared" si="58"/>
        <v>0</v>
      </c>
      <c r="AI107" s="120">
        <f t="shared" si="58"/>
        <v>0</v>
      </c>
      <c r="AJ107" s="120">
        <f t="shared" si="58"/>
        <v>0</v>
      </c>
    </row>
    <row r="108" spans="1:36" ht="15" thickBot="1"/>
    <row r="109" spans="1:36" ht="24" thickBot="1">
      <c r="B109" s="101" t="s">
        <v>88</v>
      </c>
      <c r="C109" s="93">
        <f t="shared" ref="C109:AJ109" si="59">C107+C86+C65+C44+C23</f>
        <v>0</v>
      </c>
      <c r="D109" s="93">
        <f t="shared" si="59"/>
        <v>299.96249999999998</v>
      </c>
      <c r="E109" s="93">
        <f t="shared" si="59"/>
        <v>1899.5625</v>
      </c>
      <c r="F109" s="93">
        <f t="shared" si="59"/>
        <v>1099.7625</v>
      </c>
      <c r="G109" s="93">
        <f t="shared" si="59"/>
        <v>1399.7249999999999</v>
      </c>
      <c r="H109" s="93">
        <f t="shared" si="59"/>
        <v>2999.3249999999998</v>
      </c>
      <c r="I109" s="93">
        <f t="shared" si="59"/>
        <v>1399.7249999999999</v>
      </c>
      <c r="J109" s="93">
        <f t="shared" si="59"/>
        <v>1399.7249999999999</v>
      </c>
      <c r="K109" s="93">
        <f t="shared" si="59"/>
        <v>1699.6875</v>
      </c>
      <c r="L109" s="93">
        <f t="shared" si="59"/>
        <v>2499.4875000000002</v>
      </c>
      <c r="M109" s="93">
        <f t="shared" si="59"/>
        <v>3599.25</v>
      </c>
      <c r="N109" s="93">
        <f t="shared" si="59"/>
        <v>4399.05</v>
      </c>
      <c r="O109" s="119">
        <f t="shared" si="59"/>
        <v>2399.4</v>
      </c>
      <c r="P109" s="119">
        <f t="shared" si="59"/>
        <v>1599.6000000000001</v>
      </c>
      <c r="Q109" s="119">
        <f t="shared" si="59"/>
        <v>799.80000000000007</v>
      </c>
      <c r="R109" s="119">
        <f t="shared" si="59"/>
        <v>0</v>
      </c>
      <c r="S109" s="119">
        <f t="shared" si="59"/>
        <v>0</v>
      </c>
      <c r="T109" s="119">
        <f t="shared" si="59"/>
        <v>0</v>
      </c>
      <c r="U109" s="119">
        <f t="shared" si="59"/>
        <v>0</v>
      </c>
      <c r="V109" s="119">
        <f t="shared" si="59"/>
        <v>0</v>
      </c>
      <c r="W109" s="119">
        <f t="shared" si="59"/>
        <v>0</v>
      </c>
      <c r="X109" s="119">
        <f t="shared" si="59"/>
        <v>0</v>
      </c>
      <c r="Y109" s="119">
        <f t="shared" si="59"/>
        <v>0</v>
      </c>
      <c r="Z109" s="119">
        <f t="shared" si="59"/>
        <v>0</v>
      </c>
      <c r="AA109" s="118">
        <f t="shared" si="59"/>
        <v>0</v>
      </c>
      <c r="AB109" s="118">
        <f t="shared" si="59"/>
        <v>0</v>
      </c>
      <c r="AC109" s="118">
        <f t="shared" si="59"/>
        <v>0</v>
      </c>
      <c r="AD109" s="118">
        <f t="shared" si="59"/>
        <v>0</v>
      </c>
      <c r="AE109" s="118">
        <f t="shared" si="59"/>
        <v>0</v>
      </c>
      <c r="AF109" s="118">
        <f t="shared" si="59"/>
        <v>0</v>
      </c>
      <c r="AG109" s="118">
        <f t="shared" si="59"/>
        <v>0</v>
      </c>
      <c r="AH109" s="118">
        <f t="shared" si="59"/>
        <v>0</v>
      </c>
      <c r="AI109" s="118">
        <f t="shared" si="59"/>
        <v>0</v>
      </c>
      <c r="AJ109" s="118">
        <f t="shared" si="59"/>
        <v>0</v>
      </c>
    </row>
    <row r="111" spans="1:36" ht="23.45">
      <c r="A111" s="84" t="s">
        <v>89</v>
      </c>
      <c r="C111" s="85">
        <f t="shared" ref="C111:N111" si="60">C127</f>
        <v>44927</v>
      </c>
      <c r="D111" s="85">
        <f t="shared" si="60"/>
        <v>44958</v>
      </c>
      <c r="E111" s="85">
        <f t="shared" si="60"/>
        <v>44986</v>
      </c>
      <c r="F111" s="85">
        <f t="shared" si="60"/>
        <v>45017</v>
      </c>
      <c r="G111" s="85">
        <f t="shared" si="60"/>
        <v>45047</v>
      </c>
      <c r="H111" s="85">
        <f t="shared" si="60"/>
        <v>45078</v>
      </c>
      <c r="I111" s="85">
        <f t="shared" si="60"/>
        <v>45108</v>
      </c>
      <c r="J111" s="85">
        <f t="shared" si="60"/>
        <v>45139</v>
      </c>
      <c r="K111" s="85">
        <f t="shared" si="60"/>
        <v>45170</v>
      </c>
      <c r="L111" s="85">
        <f t="shared" si="60"/>
        <v>45200</v>
      </c>
      <c r="M111" s="85">
        <f t="shared" si="60"/>
        <v>45231</v>
      </c>
      <c r="N111" s="85">
        <f t="shared" si="60"/>
        <v>45261</v>
      </c>
    </row>
    <row r="112" spans="1:36">
      <c r="A112" s="58"/>
      <c r="B112" s="59" t="s">
        <v>90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58"/>
      <c r="B113" s="59" t="s">
        <v>91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58"/>
      <c r="B114" s="59" t="s">
        <v>92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58"/>
      <c r="B115" s="59" t="s">
        <v>93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 ht="15" thickBot="1">
      <c r="A116" s="58"/>
      <c r="B116" s="59" t="s">
        <v>94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 ht="24" thickBot="1">
      <c r="B117" s="101" t="s">
        <v>58</v>
      </c>
      <c r="C117" s="93">
        <f>SUM(C112:C116)</f>
        <v>0</v>
      </c>
      <c r="D117" s="102">
        <f t="shared" ref="D117:N117" si="61">SUM(D112:D116)</f>
        <v>0</v>
      </c>
      <c r="E117" s="102">
        <f t="shared" si="61"/>
        <v>0</v>
      </c>
      <c r="F117" s="102">
        <f t="shared" si="61"/>
        <v>0</v>
      </c>
      <c r="G117" s="102">
        <f t="shared" si="61"/>
        <v>0</v>
      </c>
      <c r="H117" s="102">
        <f t="shared" si="61"/>
        <v>0</v>
      </c>
      <c r="I117" s="102">
        <f t="shared" si="61"/>
        <v>0</v>
      </c>
      <c r="J117" s="102">
        <f t="shared" si="61"/>
        <v>0</v>
      </c>
      <c r="K117" s="102">
        <f t="shared" si="61"/>
        <v>0</v>
      </c>
      <c r="L117" s="102">
        <f t="shared" si="61"/>
        <v>0</v>
      </c>
      <c r="M117" s="102">
        <f t="shared" si="61"/>
        <v>0</v>
      </c>
      <c r="N117" s="103">
        <f t="shared" si="61"/>
        <v>0</v>
      </c>
    </row>
    <row r="119" spans="1:14" ht="23.45">
      <c r="A119" s="84" t="s">
        <v>95</v>
      </c>
      <c r="C119" s="85">
        <f>C111</f>
        <v>44927</v>
      </c>
      <c r="D119" s="85">
        <f t="shared" ref="D119:N119" si="62">D111</f>
        <v>44958</v>
      </c>
      <c r="E119" s="85">
        <f t="shared" si="62"/>
        <v>44986</v>
      </c>
      <c r="F119" s="85">
        <f t="shared" si="62"/>
        <v>45017</v>
      </c>
      <c r="G119" s="85">
        <f t="shared" si="62"/>
        <v>45047</v>
      </c>
      <c r="H119" s="85">
        <f t="shared" si="62"/>
        <v>45078</v>
      </c>
      <c r="I119" s="85">
        <f t="shared" si="62"/>
        <v>45108</v>
      </c>
      <c r="J119" s="85">
        <f t="shared" si="62"/>
        <v>45139</v>
      </c>
      <c r="K119" s="85">
        <f t="shared" si="62"/>
        <v>45170</v>
      </c>
      <c r="L119" s="85">
        <f t="shared" si="62"/>
        <v>45200</v>
      </c>
      <c r="M119" s="85">
        <f t="shared" si="62"/>
        <v>45231</v>
      </c>
      <c r="N119" s="85">
        <f t="shared" si="62"/>
        <v>45261</v>
      </c>
    </row>
    <row r="120" spans="1:14">
      <c r="A120" s="58"/>
      <c r="B120" s="59" t="s">
        <v>96</v>
      </c>
      <c r="C120" s="4">
        <v>25000</v>
      </c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58"/>
      <c r="B121" s="59" t="s">
        <v>97</v>
      </c>
      <c r="C121" s="4">
        <v>25000</v>
      </c>
      <c r="D121" s="4"/>
      <c r="E121" s="4">
        <v>100000</v>
      </c>
      <c r="F121" s="4"/>
      <c r="G121" s="4"/>
      <c r="H121" s="4"/>
      <c r="I121" s="4"/>
      <c r="J121" s="4"/>
      <c r="K121" s="4"/>
      <c r="L121" s="4"/>
      <c r="M121" s="4"/>
      <c r="N121" s="4">
        <v>125000</v>
      </c>
    </row>
    <row r="122" spans="1:14">
      <c r="A122" s="58"/>
      <c r="B122" s="59" t="s">
        <v>92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58"/>
      <c r="B123" s="59" t="s">
        <v>93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 ht="15" thickBot="1">
      <c r="A124" s="58"/>
      <c r="B124" s="59" t="s">
        <v>94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 ht="24" thickBot="1">
      <c r="B125" s="101" t="s">
        <v>58</v>
      </c>
      <c r="C125" s="93">
        <f t="shared" ref="C125:N125" si="63">SUM(C120:C124)</f>
        <v>50000</v>
      </c>
      <c r="D125" s="102">
        <f t="shared" si="63"/>
        <v>0</v>
      </c>
      <c r="E125" s="102">
        <f>SUM(E120:E124)</f>
        <v>100000</v>
      </c>
      <c r="F125" s="102">
        <f t="shared" si="63"/>
        <v>0</v>
      </c>
      <c r="G125" s="102">
        <f t="shared" si="63"/>
        <v>0</v>
      </c>
      <c r="H125" s="102">
        <f t="shared" si="63"/>
        <v>0</v>
      </c>
      <c r="I125" s="102">
        <f t="shared" si="63"/>
        <v>0</v>
      </c>
      <c r="J125" s="102">
        <f t="shared" si="63"/>
        <v>0</v>
      </c>
      <c r="K125" s="102">
        <f t="shared" si="63"/>
        <v>0</v>
      </c>
      <c r="L125" s="102">
        <f t="shared" si="63"/>
        <v>0</v>
      </c>
      <c r="M125" s="102">
        <f t="shared" si="63"/>
        <v>0</v>
      </c>
      <c r="N125" s="103">
        <f t="shared" si="63"/>
        <v>125000</v>
      </c>
    </row>
    <row r="127" spans="1:14" ht="15" thickBot="1">
      <c r="C127" s="85">
        <f>DATE('Pro Forma'!C3,'Pro Forma'!C4,1)</f>
        <v>44927</v>
      </c>
      <c r="D127" s="85">
        <f>DATE('Pro Forma'!C3,'Pro Forma'!C4+1,1)</f>
        <v>44958</v>
      </c>
      <c r="E127" s="85">
        <f>DATE('Pro Forma'!C3,'Pro Forma'!C4+2,1)</f>
        <v>44986</v>
      </c>
      <c r="F127" s="85">
        <f>DATE('Pro Forma'!C3,'Pro Forma'!C4+3,1)</f>
        <v>45017</v>
      </c>
      <c r="G127" s="85">
        <f>DATE('Pro Forma'!C3,'Pro Forma'!C4+4,1)</f>
        <v>45047</v>
      </c>
      <c r="H127" s="85">
        <f>DATE('Pro Forma'!C3,'Pro Forma'!C4+5,1)</f>
        <v>45078</v>
      </c>
      <c r="I127" s="85">
        <f>DATE('Pro Forma'!C3,'Pro Forma'!C4+6,1)</f>
        <v>45108</v>
      </c>
      <c r="J127" s="85">
        <f>DATE('Pro Forma'!C3,'Pro Forma'!C4+7,1)</f>
        <v>45139</v>
      </c>
      <c r="K127" s="85">
        <f>DATE('Pro Forma'!C3,'Pro Forma'!C4+8,1)</f>
        <v>45170</v>
      </c>
      <c r="L127" s="85">
        <f>DATE('Pro Forma'!C3,'Pro Forma'!C4+9,1)</f>
        <v>45200</v>
      </c>
      <c r="M127" s="85">
        <f>DATE('Pro Forma'!C3,'Pro Forma'!C4+10,1)</f>
        <v>45231</v>
      </c>
      <c r="N127" s="85">
        <f>DATE('Pro Forma'!C3,'Pro Forma'!C4+11,1)</f>
        <v>45261</v>
      </c>
    </row>
    <row r="128" spans="1:14" ht="29.45" thickBot="1">
      <c r="B128" s="104" t="s">
        <v>98</v>
      </c>
      <c r="C128" s="93">
        <f>C109+C117+C125</f>
        <v>50000</v>
      </c>
      <c r="D128" s="93">
        <f t="shared" ref="D128:N128" si="64">D109+D117+D125</f>
        <v>299.96249999999998</v>
      </c>
      <c r="E128" s="93">
        <f t="shared" si="64"/>
        <v>101899.5625</v>
      </c>
      <c r="F128" s="93">
        <f t="shared" si="64"/>
        <v>1099.7625</v>
      </c>
      <c r="G128" s="93">
        <f t="shared" si="64"/>
        <v>1399.7249999999999</v>
      </c>
      <c r="H128" s="93">
        <f t="shared" si="64"/>
        <v>2999.3249999999998</v>
      </c>
      <c r="I128" s="93">
        <f t="shared" si="64"/>
        <v>1399.7249999999999</v>
      </c>
      <c r="J128" s="93">
        <f t="shared" si="64"/>
        <v>1399.7249999999999</v>
      </c>
      <c r="K128" s="93">
        <f t="shared" si="64"/>
        <v>1699.6875</v>
      </c>
      <c r="L128" s="93">
        <f t="shared" si="64"/>
        <v>2499.4875000000002</v>
      </c>
      <c r="M128" s="93">
        <f t="shared" si="64"/>
        <v>3599.25</v>
      </c>
      <c r="N128" s="93">
        <f t="shared" si="64"/>
        <v>129399.05</v>
      </c>
    </row>
    <row r="129" spans="1:14" ht="34.15" thickBot="1">
      <c r="A129" s="83" t="s">
        <v>99</v>
      </c>
      <c r="C129" s="85">
        <f t="shared" ref="C129:N129" si="65">C127</f>
        <v>44927</v>
      </c>
      <c r="D129" s="85">
        <f t="shared" si="65"/>
        <v>44958</v>
      </c>
      <c r="E129" s="85">
        <f t="shared" si="65"/>
        <v>44986</v>
      </c>
      <c r="F129" s="85">
        <f t="shared" si="65"/>
        <v>45017</v>
      </c>
      <c r="G129" s="85">
        <f t="shared" si="65"/>
        <v>45047</v>
      </c>
      <c r="H129" s="85">
        <f t="shared" si="65"/>
        <v>45078</v>
      </c>
      <c r="I129" s="85">
        <f t="shared" si="65"/>
        <v>45108</v>
      </c>
      <c r="J129" s="85">
        <f t="shared" si="65"/>
        <v>45139</v>
      </c>
      <c r="K129" s="85">
        <f t="shared" si="65"/>
        <v>45170</v>
      </c>
      <c r="L129" s="85">
        <f t="shared" si="65"/>
        <v>45200</v>
      </c>
      <c r="M129" s="85">
        <f t="shared" si="65"/>
        <v>45231</v>
      </c>
      <c r="N129" s="85">
        <f t="shared" si="65"/>
        <v>45261</v>
      </c>
    </row>
    <row r="130" spans="1:14" ht="15" thickBot="1">
      <c r="A130" s="105" t="str">
        <f>'Pro Forma'!A17</f>
        <v>Include investments</v>
      </c>
      <c r="B130" s="106" t="str">
        <f>'Pro Forma'!B17</f>
        <v>Yes</v>
      </c>
      <c r="C130" s="93">
        <f>IF(B130="Yes",C128*'Pro Forma'!C16,(C128-C125)*'Pro Forma'!C16)</f>
        <v>1000</v>
      </c>
      <c r="D130" s="102">
        <f>IF(B130="Yes",D128*'Pro Forma'!C16,(D128-D125)*'Pro Forma'!C16)</f>
        <v>5.99925</v>
      </c>
      <c r="E130" s="102">
        <f>IF(B130="Yes",E128*'Pro Forma'!C16,(E128-C125)*'Pro Forma'!C16)</f>
        <v>2037.99125</v>
      </c>
      <c r="F130" s="102">
        <f>IF(B130="Yes",F128*'Pro Forma'!C16,(F128-C125)*'Pro Forma'!C16)</f>
        <v>21.995250000000002</v>
      </c>
      <c r="G130" s="102">
        <f>IF(B130="Yes",G128*'Pro Forma'!C16,(G128-C125)*'Pro Forma'!C16)</f>
        <v>27.994499999999999</v>
      </c>
      <c r="H130" s="102">
        <f>IF(B130="Yes",H128*'Pro Forma'!C16,(H128-C125)*'Pro Forma'!C16)</f>
        <v>59.986499999999999</v>
      </c>
      <c r="I130" s="102">
        <f>IF(B130="Yes",I128*'Pro Forma'!C16,(I128-C125)*'Pro Forma'!C16)</f>
        <v>27.994499999999999</v>
      </c>
      <c r="J130" s="102">
        <f>IF(B130="Yes",J128*'Pro Forma'!C16,(J128-C125)*'Pro Forma'!C16)</f>
        <v>27.994499999999999</v>
      </c>
      <c r="K130" s="102">
        <f>IF(B130="Yes",K128*'Pro Forma'!C16,(K128-C125)*'Pro Forma'!C16)</f>
        <v>33.993749999999999</v>
      </c>
      <c r="L130" s="102">
        <f>IF(B130="Yes",L128*'Pro Forma'!C16,(L128-C125)*'Pro Forma'!C16)</f>
        <v>49.989750000000008</v>
      </c>
      <c r="M130" s="102">
        <f>IF(B130="Yes",M128*'Pro Forma'!C16,(M128-C125)*'Pro Forma'!C16)</f>
        <v>71.984999999999999</v>
      </c>
      <c r="N130" s="103">
        <f>IF(B130="Yes",M128*'Pro Forma'!C16,(N128-C125)*'Pro Forma'!C16)</f>
        <v>71.984999999999999</v>
      </c>
    </row>
    <row r="131" spans="1:14">
      <c r="A131" s="81"/>
      <c r="B131" s="82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1:14" ht="15" thickBot="1">
      <c r="C132" s="85">
        <f>C129</f>
        <v>44927</v>
      </c>
      <c r="D132" s="85">
        <f t="shared" ref="D132:N132" si="66">D129</f>
        <v>44958</v>
      </c>
      <c r="E132" s="85">
        <f t="shared" si="66"/>
        <v>44986</v>
      </c>
      <c r="F132" s="85">
        <f t="shared" si="66"/>
        <v>45017</v>
      </c>
      <c r="G132" s="85">
        <f t="shared" si="66"/>
        <v>45047</v>
      </c>
      <c r="H132" s="85">
        <f t="shared" si="66"/>
        <v>45078</v>
      </c>
      <c r="I132" s="85">
        <f t="shared" si="66"/>
        <v>45108</v>
      </c>
      <c r="J132" s="85">
        <f t="shared" si="66"/>
        <v>45139</v>
      </c>
      <c r="K132" s="85">
        <f t="shared" si="66"/>
        <v>45170</v>
      </c>
      <c r="L132" s="85">
        <f t="shared" si="66"/>
        <v>45200</v>
      </c>
      <c r="M132" s="85">
        <f t="shared" si="66"/>
        <v>45231</v>
      </c>
      <c r="N132" s="85">
        <f t="shared" si="66"/>
        <v>45261</v>
      </c>
    </row>
    <row r="133" spans="1:14" ht="34.15" thickBot="1">
      <c r="A133" s="107" t="s">
        <v>100</v>
      </c>
      <c r="B133" s="108">
        <f>'Pro Forma'!F3</f>
        <v>25000</v>
      </c>
      <c r="C133" s="108">
        <f ca="1">IF(B134 = "No",B133+C128-C130-C136- C169,B133+C128-C130-C136)</f>
        <v>6263.4523813690466</v>
      </c>
      <c r="D133" s="108">
        <f ca="1">IF(B134 = "No",C133+D128-D130-D136- D169,C133+D128-D130-D136)</f>
        <v>-26594.130112261904</v>
      </c>
      <c r="E133" s="108">
        <f ca="1">IF(B134 = "No",D133+E128-E130-E136- E169,D133+E128-E130-E136)</f>
        <v>64680.935394107139</v>
      </c>
      <c r="F133" s="108">
        <f ca="1">IF(B134 = "No",E133+F128-F130-F136- F169,E133+F128-F130-F136)</f>
        <v>57402.176900476188</v>
      </c>
      <c r="G133" s="108">
        <f ca="1">IF(B134 = "No",F133+G128-G130-G136- G169,F133+G128-G130-G136)</f>
        <v>50402.383531845233</v>
      </c>
      <c r="H133" s="108">
        <f ca="1">IF(B134 = "No",G133+H128-H130-H136- H169,G133+H128-H130-H136)</f>
        <v>44660.238163214279</v>
      </c>
      <c r="I133" s="108">
        <f ca="1">IF(B134 = "No",H133+I128-I130-I136- I169,H133+I128-I130-I136)</f>
        <v>37660.444794583324</v>
      </c>
      <c r="J133" s="108">
        <f ca="1">IF(B134 = "No",I133+J128-J130-J136- J169,I133+J128-J130-J136)</f>
        <v>27660.651425952368</v>
      </c>
      <c r="K133" s="108">
        <f ca="1">IF(B134 = "No",J133+K128-K130-K136- K169,J133+K128-K130-K136)</f>
        <v>17289.823182321416</v>
      </c>
      <c r="L133" s="108">
        <f ca="1">IF(B134 = "No",K133+L128-L130-L136- L169,K133+L128-L130-L136)</f>
        <v>3772.8189386904614</v>
      </c>
      <c r="M133" s="108">
        <f ca="1">IF(B134 = "No",L133+M128-M130-M136- M169,L133+M128-M130-M136)</f>
        <v>-1261.3961799404906</v>
      </c>
      <c r="N133" s="108">
        <f ca="1">IF(B134 = "No",M133+N128-N130-N136- N169,M133+N128-N130-N136)</f>
        <v>117774.20870142855</v>
      </c>
    </row>
    <row r="134" spans="1:14">
      <c r="A134" s="90" t="str">
        <f>'Pro Forma'!A25</f>
        <v>Exclude  Depreciation</v>
      </c>
      <c r="B134" s="106" t="str">
        <f>'Pro Forma'!A26</f>
        <v>Yes</v>
      </c>
      <c r="C134" s="12"/>
    </row>
    <row r="135" spans="1:14" ht="34.15" thickBot="1">
      <c r="A135" s="83" t="s">
        <v>65</v>
      </c>
      <c r="C135" s="85">
        <f t="shared" ref="C135:N135" si="67">C127</f>
        <v>44927</v>
      </c>
      <c r="D135" s="85">
        <f t="shared" si="67"/>
        <v>44958</v>
      </c>
      <c r="E135" s="85">
        <f t="shared" si="67"/>
        <v>44986</v>
      </c>
      <c r="F135" s="85">
        <f t="shared" si="67"/>
        <v>45017</v>
      </c>
      <c r="G135" s="85">
        <f t="shared" si="67"/>
        <v>45047</v>
      </c>
      <c r="H135" s="85">
        <f t="shared" si="67"/>
        <v>45078</v>
      </c>
      <c r="I135" s="85">
        <f t="shared" si="67"/>
        <v>45108</v>
      </c>
      <c r="J135" s="85">
        <f t="shared" si="67"/>
        <v>45139</v>
      </c>
      <c r="K135" s="85">
        <f t="shared" si="67"/>
        <v>45170</v>
      </c>
      <c r="L135" s="85">
        <f t="shared" si="67"/>
        <v>45200</v>
      </c>
      <c r="M135" s="85">
        <f t="shared" si="67"/>
        <v>45231</v>
      </c>
      <c r="N135" s="85">
        <f t="shared" si="67"/>
        <v>45261</v>
      </c>
    </row>
    <row r="136" spans="1:14" ht="29.45" thickBot="1">
      <c r="B136" s="104" t="s">
        <v>101</v>
      </c>
      <c r="C136" s="93">
        <f t="shared" ref="C136:N136" ca="1" si="68">C138+C147+C165+C170+C180+C187+C196+C200+C208+C232+C239+C255+C268+C281+C300</f>
        <v>67736.547618630953</v>
      </c>
      <c r="D136" s="93">
        <f t="shared" ca="1" si="68"/>
        <v>33151.545743630952</v>
      </c>
      <c r="E136" s="93">
        <f t="shared" ca="1" si="68"/>
        <v>8586.5057436309526</v>
      </c>
      <c r="F136" s="93">
        <f t="shared" ca="1" si="68"/>
        <v>8356.5257436309512</v>
      </c>
      <c r="G136" s="93">
        <f t="shared" ca="1" si="68"/>
        <v>8371.5238686309531</v>
      </c>
      <c r="H136" s="93">
        <f t="shared" ca="1" si="68"/>
        <v>8681.4838686309522</v>
      </c>
      <c r="I136" s="93">
        <f t="shared" ca="1" si="68"/>
        <v>8371.5238686309531</v>
      </c>
      <c r="J136" s="93">
        <f t="shared" ca="1" si="68"/>
        <v>11371.523868630953</v>
      </c>
      <c r="K136" s="93">
        <f t="shared" ca="1" si="68"/>
        <v>12036.521993630953</v>
      </c>
      <c r="L136" s="93">
        <f t="shared" ca="1" si="68"/>
        <v>15966.501993630953</v>
      </c>
      <c r="M136" s="93">
        <f t="shared" ca="1" si="68"/>
        <v>8561.4801186309523</v>
      </c>
      <c r="N136" s="93">
        <f t="shared" ca="1" si="68"/>
        <v>10291.460118630952</v>
      </c>
    </row>
    <row r="137" spans="1:14" ht="15" thickBot="1"/>
    <row r="138" spans="1:14" ht="24" thickBot="1">
      <c r="A138" s="84" t="s">
        <v>47</v>
      </c>
      <c r="B138" s="90" t="s">
        <v>102</v>
      </c>
      <c r="C138" s="93">
        <f>'Pro Forma'!C13/12</f>
        <v>4166.6666662500002</v>
      </c>
      <c r="D138" s="102">
        <f>'Pro Forma'!C13/12</f>
        <v>4166.6666662500002</v>
      </c>
      <c r="E138" s="102">
        <f>'Pro Forma'!C13/12</f>
        <v>4166.6666662500002</v>
      </c>
      <c r="F138" s="102">
        <f>'Pro Forma'!C13/12</f>
        <v>4166.6666662500002</v>
      </c>
      <c r="G138" s="102">
        <f>'Pro Forma'!C13/12</f>
        <v>4166.6666662500002</v>
      </c>
      <c r="H138" s="102">
        <f>'Pro Forma'!C13/12</f>
        <v>4166.6666662500002</v>
      </c>
      <c r="I138" s="102">
        <f>'Pro Forma'!C13/12</f>
        <v>4166.6666662500002</v>
      </c>
      <c r="J138" s="102">
        <f>'Pro Forma'!C13/12</f>
        <v>4166.6666662500002</v>
      </c>
      <c r="K138" s="102">
        <f>'Pro Forma'!C13/12</f>
        <v>4166.6666662500002</v>
      </c>
      <c r="L138" s="102">
        <f>'Pro Forma'!C13/12</f>
        <v>4166.6666662500002</v>
      </c>
      <c r="M138" s="102">
        <f>'Pro Forma'!C13/12</f>
        <v>4166.6666662500002</v>
      </c>
      <c r="N138" s="103">
        <f>'Pro Forma'!C13/12</f>
        <v>4166.6666662500002</v>
      </c>
    </row>
    <row r="141" spans="1:14" ht="24" thickBot="1">
      <c r="A141" s="84" t="s">
        <v>103</v>
      </c>
      <c r="B141" s="109" t="s">
        <v>104</v>
      </c>
    </row>
    <row r="142" spans="1:14" ht="15" thickBot="1">
      <c r="A142" s="90" t="str">
        <f>A4</f>
        <v>Kilter Tilter -Therapy Version</v>
      </c>
      <c r="B142" s="48">
        <v>0.1</v>
      </c>
      <c r="C142" s="110">
        <f>C23*B142</f>
        <v>0</v>
      </c>
      <c r="D142" s="110">
        <f>D23*B142</f>
        <v>0</v>
      </c>
      <c r="E142" s="110">
        <f>E23*B142</f>
        <v>159.96000000000004</v>
      </c>
      <c r="F142" s="110">
        <f>F23*B142</f>
        <v>79.980000000000018</v>
      </c>
      <c r="G142" s="110">
        <f>G23*B142</f>
        <v>79.980000000000018</v>
      </c>
      <c r="H142" s="110">
        <f>H23*B142</f>
        <v>239.94000000000003</v>
      </c>
      <c r="I142" s="110">
        <f>I23*B142</f>
        <v>79.980000000000018</v>
      </c>
      <c r="J142" s="110">
        <f>J23*B142</f>
        <v>79.980000000000018</v>
      </c>
      <c r="K142" s="110">
        <f>K23*B142</f>
        <v>79.980000000000018</v>
      </c>
      <c r="L142" s="110">
        <f>L23*B142</f>
        <v>159.96000000000004</v>
      </c>
      <c r="M142" s="110">
        <f>M23*B142</f>
        <v>239.94000000000003</v>
      </c>
      <c r="N142" s="110">
        <f>N23*B142</f>
        <v>319.92000000000007</v>
      </c>
    </row>
    <row r="143" spans="1:14" ht="15" thickBot="1">
      <c r="A143" s="90" t="str">
        <f>A25</f>
        <v>Kilter Roller</v>
      </c>
      <c r="B143" s="48">
        <v>0.05</v>
      </c>
      <c r="C143" s="110">
        <f>C44*B143</f>
        <v>0</v>
      </c>
      <c r="D143" s="110">
        <f>D44*B143</f>
        <v>14.998125</v>
      </c>
      <c r="E143" s="110">
        <f>E44*B143</f>
        <v>14.998125</v>
      </c>
      <c r="F143" s="110">
        <f>F44*B143</f>
        <v>14.998125</v>
      </c>
      <c r="G143" s="110">
        <f>G44*B143</f>
        <v>29.99625</v>
      </c>
      <c r="H143" s="110">
        <f>H44*B143</f>
        <v>29.99625</v>
      </c>
      <c r="I143" s="110">
        <f>I44*B143</f>
        <v>29.99625</v>
      </c>
      <c r="J143" s="110">
        <f>J44*B143</f>
        <v>29.99625</v>
      </c>
      <c r="K143" s="110">
        <f>K44*B143</f>
        <v>44.994374999999998</v>
      </c>
      <c r="L143" s="110">
        <f>L44*B143</f>
        <v>44.994374999999998</v>
      </c>
      <c r="M143" s="110">
        <f>M44*B143</f>
        <v>59.9925</v>
      </c>
      <c r="N143" s="110">
        <f>N44*B143</f>
        <v>59.9925</v>
      </c>
    </row>
    <row r="144" spans="1:14" ht="15" thickBot="1">
      <c r="A144" s="90" t="str">
        <f>A46</f>
        <v xml:space="preserve">    ---    </v>
      </c>
      <c r="B144" s="48"/>
      <c r="C144" s="110">
        <f>C65*B144</f>
        <v>0</v>
      </c>
      <c r="D144" s="110">
        <f>D65*B144</f>
        <v>0</v>
      </c>
      <c r="E144" s="110">
        <f>E65*B144</f>
        <v>0</v>
      </c>
      <c r="F144" s="110">
        <f>F65*B144</f>
        <v>0</v>
      </c>
      <c r="G144" s="110">
        <f>G65*B144</f>
        <v>0</v>
      </c>
      <c r="H144" s="110">
        <f>H65*B144</f>
        <v>0</v>
      </c>
      <c r="I144" s="110">
        <f>I65*B144</f>
        <v>0</v>
      </c>
      <c r="J144" s="110">
        <f>J65*B144</f>
        <v>0</v>
      </c>
      <c r="K144" s="110">
        <f>K65*B144</f>
        <v>0</v>
      </c>
      <c r="L144" s="110">
        <f>L65*B144</f>
        <v>0</v>
      </c>
      <c r="M144" s="110">
        <f>M65*B144</f>
        <v>0</v>
      </c>
      <c r="N144" s="110">
        <f>N65*B144</f>
        <v>0</v>
      </c>
    </row>
    <row r="145" spans="1:14" ht="15" thickBot="1">
      <c r="A145" s="90" t="str">
        <f>A67</f>
        <v xml:space="preserve">    ---    </v>
      </c>
      <c r="B145" s="48"/>
      <c r="C145" s="110">
        <f>C86*B145</f>
        <v>0</v>
      </c>
      <c r="D145" s="110">
        <f>D86*B145</f>
        <v>0</v>
      </c>
      <c r="E145" s="110">
        <f>E86*B145</f>
        <v>0</v>
      </c>
      <c r="F145" s="110">
        <f>F86*B145</f>
        <v>0</v>
      </c>
      <c r="G145" s="110">
        <f>G86*B145</f>
        <v>0</v>
      </c>
      <c r="H145" s="110">
        <f>H86*B145</f>
        <v>0</v>
      </c>
      <c r="I145" s="110">
        <f>I86*B145</f>
        <v>0</v>
      </c>
      <c r="J145" s="110">
        <f>J86*B145</f>
        <v>0</v>
      </c>
      <c r="K145" s="110">
        <f>K86*B145</f>
        <v>0</v>
      </c>
      <c r="L145" s="110">
        <f>L86*B145</f>
        <v>0</v>
      </c>
      <c r="M145" s="110">
        <f>M86*B145</f>
        <v>0</v>
      </c>
      <c r="N145" s="110">
        <f>N86*B145</f>
        <v>0</v>
      </c>
    </row>
    <row r="146" spans="1:14" ht="15" thickBot="1">
      <c r="A146" s="90" t="str">
        <f>A88</f>
        <v xml:space="preserve">    ---    </v>
      </c>
      <c r="B146" s="48"/>
      <c r="C146" s="110">
        <f>C107*B146</f>
        <v>0</v>
      </c>
      <c r="D146" s="110">
        <f>D107*B146</f>
        <v>0</v>
      </c>
      <c r="E146" s="110">
        <f>E107*B146</f>
        <v>0</v>
      </c>
      <c r="F146" s="110">
        <f>F107*B146</f>
        <v>0</v>
      </c>
      <c r="G146" s="110">
        <f>G107*B146</f>
        <v>0</v>
      </c>
      <c r="H146" s="110">
        <f>H107*B146</f>
        <v>0</v>
      </c>
      <c r="I146" s="110">
        <f>I107*B146</f>
        <v>0</v>
      </c>
      <c r="J146" s="110">
        <f>J107*B146</f>
        <v>0</v>
      </c>
      <c r="K146" s="110">
        <f>K107*B146</f>
        <v>0</v>
      </c>
      <c r="L146" s="110">
        <f>L107*B146</f>
        <v>0</v>
      </c>
      <c r="M146" s="110">
        <f>M107*B146</f>
        <v>0</v>
      </c>
      <c r="N146" s="110">
        <f>N107*B146</f>
        <v>0</v>
      </c>
    </row>
    <row r="147" spans="1:14" ht="24" thickBot="1">
      <c r="A147" s="6"/>
      <c r="B147" s="101" t="s">
        <v>58</v>
      </c>
      <c r="C147" s="93">
        <f>SUM(C142:C146)</f>
        <v>0</v>
      </c>
      <c r="D147" s="93">
        <f t="shared" ref="D147:N147" si="69">SUM(D142:D146)</f>
        <v>14.998125</v>
      </c>
      <c r="E147" s="93">
        <f t="shared" si="69"/>
        <v>174.95812500000002</v>
      </c>
      <c r="F147" s="93">
        <f t="shared" si="69"/>
        <v>94.97812500000002</v>
      </c>
      <c r="G147" s="93">
        <f t="shared" si="69"/>
        <v>109.97625000000002</v>
      </c>
      <c r="H147" s="93">
        <f t="shared" si="69"/>
        <v>269.93625000000003</v>
      </c>
      <c r="I147" s="93">
        <f t="shared" si="69"/>
        <v>109.97625000000002</v>
      </c>
      <c r="J147" s="93">
        <f t="shared" si="69"/>
        <v>109.97625000000002</v>
      </c>
      <c r="K147" s="93">
        <f t="shared" si="69"/>
        <v>124.97437500000001</v>
      </c>
      <c r="L147" s="93">
        <f t="shared" si="69"/>
        <v>204.95437500000003</v>
      </c>
      <c r="M147" s="93">
        <f t="shared" si="69"/>
        <v>299.9325</v>
      </c>
      <c r="N147" s="93">
        <f t="shared" si="69"/>
        <v>379.91250000000008</v>
      </c>
    </row>
    <row r="149" spans="1:14" ht="23.45">
      <c r="A149" s="84" t="s">
        <v>105</v>
      </c>
    </row>
    <row r="150" spans="1:14">
      <c r="A150"/>
      <c r="B150" s="90" t="s">
        <v>106</v>
      </c>
      <c r="C150" s="4">
        <f>5*25</f>
        <v>125</v>
      </c>
      <c r="D150" s="4">
        <f>C150</f>
        <v>125</v>
      </c>
      <c r="E150" s="4">
        <f t="shared" ref="E150:N150" si="70">D150</f>
        <v>125</v>
      </c>
      <c r="F150" s="4">
        <f t="shared" si="70"/>
        <v>125</v>
      </c>
      <c r="G150" s="4">
        <f t="shared" si="70"/>
        <v>125</v>
      </c>
      <c r="H150" s="4">
        <f t="shared" si="70"/>
        <v>125</v>
      </c>
      <c r="I150" s="4">
        <f t="shared" si="70"/>
        <v>125</v>
      </c>
      <c r="J150" s="4">
        <f t="shared" si="70"/>
        <v>125</v>
      </c>
      <c r="K150" s="4">
        <f t="shared" si="70"/>
        <v>125</v>
      </c>
      <c r="L150" s="4">
        <f t="shared" si="70"/>
        <v>125</v>
      </c>
      <c r="M150" s="4">
        <f t="shared" si="70"/>
        <v>125</v>
      </c>
      <c r="N150" s="4">
        <f t="shared" si="70"/>
        <v>125</v>
      </c>
    </row>
    <row r="151" spans="1:14">
      <c r="A151"/>
      <c r="B151" s="90" t="s">
        <v>107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/>
      <c r="B152" s="90" t="s">
        <v>108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/>
      <c r="B153" s="90" t="s">
        <v>109</v>
      </c>
      <c r="C153" s="4">
        <v>1200</v>
      </c>
      <c r="D153" s="4"/>
      <c r="E153" s="4"/>
      <c r="F153" s="4"/>
      <c r="G153" s="4"/>
      <c r="H153" s="4"/>
      <c r="I153" s="4"/>
      <c r="J153" s="4">
        <v>3000</v>
      </c>
      <c r="K153" s="4"/>
      <c r="L153" s="4"/>
      <c r="M153" s="4"/>
      <c r="N153" s="4"/>
    </row>
    <row r="154" spans="1:14">
      <c r="A154"/>
      <c r="B154" s="90" t="s">
        <v>110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/>
      <c r="B155" s="90" t="s">
        <v>111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/>
      <c r="B156" s="90" t="s">
        <v>112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/>
      <c r="B157" s="90" t="s">
        <v>113</v>
      </c>
      <c r="C157" s="4"/>
      <c r="D157" s="4"/>
      <c r="E157" s="4"/>
      <c r="F157" s="4"/>
      <c r="G157" s="4"/>
      <c r="H157" s="4"/>
      <c r="I157" s="4"/>
      <c r="J157" s="4"/>
      <c r="K157" s="4">
        <v>3500</v>
      </c>
      <c r="L157" s="4">
        <v>7500</v>
      </c>
      <c r="M157" s="4"/>
      <c r="N157" s="4"/>
    </row>
    <row r="158" spans="1:14">
      <c r="A158"/>
      <c r="B158" s="90" t="s">
        <v>114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/>
      <c r="B159" s="90" t="s">
        <v>115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/>
      <c r="B160" s="90" t="s">
        <v>116</v>
      </c>
      <c r="C160" s="4">
        <v>199</v>
      </c>
      <c r="D160" s="4">
        <f>C160</f>
        <v>199</v>
      </c>
      <c r="E160" s="4">
        <f t="shared" ref="E160:N162" si="71">D160</f>
        <v>199</v>
      </c>
      <c r="F160" s="4">
        <f t="shared" si="71"/>
        <v>199</v>
      </c>
      <c r="G160" s="4">
        <f t="shared" si="71"/>
        <v>199</v>
      </c>
      <c r="H160" s="4">
        <f t="shared" si="71"/>
        <v>199</v>
      </c>
      <c r="I160" s="4">
        <f t="shared" si="71"/>
        <v>199</v>
      </c>
      <c r="J160" s="4">
        <f t="shared" si="71"/>
        <v>199</v>
      </c>
      <c r="K160" s="4">
        <f t="shared" si="71"/>
        <v>199</v>
      </c>
      <c r="L160" s="4">
        <f t="shared" si="71"/>
        <v>199</v>
      </c>
      <c r="M160" s="4">
        <f t="shared" si="71"/>
        <v>199</v>
      </c>
      <c r="N160" s="4">
        <f t="shared" si="71"/>
        <v>199</v>
      </c>
    </row>
    <row r="161" spans="1:14">
      <c r="A161"/>
      <c r="B161" s="90" t="s">
        <v>117</v>
      </c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/>
      <c r="B162" s="90" t="s">
        <v>118</v>
      </c>
      <c r="C162" s="4">
        <v>99</v>
      </c>
      <c r="D162" s="4">
        <f>C162</f>
        <v>99</v>
      </c>
      <c r="E162" s="4">
        <f t="shared" si="71"/>
        <v>99</v>
      </c>
      <c r="F162" s="4">
        <f t="shared" si="71"/>
        <v>99</v>
      </c>
      <c r="G162" s="4">
        <f t="shared" si="71"/>
        <v>99</v>
      </c>
      <c r="H162" s="4">
        <f t="shared" si="71"/>
        <v>99</v>
      </c>
      <c r="I162" s="4">
        <f t="shared" si="71"/>
        <v>99</v>
      </c>
      <c r="J162" s="4">
        <f t="shared" si="71"/>
        <v>99</v>
      </c>
      <c r="K162" s="4">
        <f t="shared" si="71"/>
        <v>99</v>
      </c>
      <c r="L162" s="4">
        <f t="shared" si="71"/>
        <v>99</v>
      </c>
      <c r="M162" s="4">
        <f t="shared" si="71"/>
        <v>99</v>
      </c>
      <c r="N162" s="4">
        <f t="shared" si="71"/>
        <v>99</v>
      </c>
    </row>
    <row r="163" spans="1:14">
      <c r="A163"/>
      <c r="B163" s="90" t="s">
        <v>119</v>
      </c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 ht="15" thickBot="1">
      <c r="B164" s="90" t="s">
        <v>120</v>
      </c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 ht="24" thickBot="1">
      <c r="B165" s="101" t="s">
        <v>58</v>
      </c>
      <c r="C165" s="93">
        <f t="shared" ref="C165:N165" si="72">SUM(C150:C164)</f>
        <v>1623</v>
      </c>
      <c r="D165" s="93">
        <f t="shared" si="72"/>
        <v>423</v>
      </c>
      <c r="E165" s="93">
        <f t="shared" si="72"/>
        <v>423</v>
      </c>
      <c r="F165" s="93">
        <f t="shared" si="72"/>
        <v>423</v>
      </c>
      <c r="G165" s="93">
        <f t="shared" si="72"/>
        <v>423</v>
      </c>
      <c r="H165" s="93">
        <f t="shared" si="72"/>
        <v>423</v>
      </c>
      <c r="I165" s="93">
        <f t="shared" si="72"/>
        <v>423</v>
      </c>
      <c r="J165" s="93">
        <f t="shared" si="72"/>
        <v>3423</v>
      </c>
      <c r="K165" s="93">
        <f t="shared" si="72"/>
        <v>3923</v>
      </c>
      <c r="L165" s="93">
        <f t="shared" si="72"/>
        <v>7923</v>
      </c>
      <c r="M165" s="93">
        <f t="shared" si="72"/>
        <v>423</v>
      </c>
      <c r="N165" s="93">
        <f t="shared" si="72"/>
        <v>423</v>
      </c>
    </row>
    <row r="166" spans="1:14">
      <c r="A166"/>
      <c r="B166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</row>
    <row r="167" spans="1:14" ht="23.45">
      <c r="A167" s="84" t="s">
        <v>121</v>
      </c>
      <c r="B167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</row>
    <row r="168" spans="1:14">
      <c r="A168" s="42" t="s">
        <v>122</v>
      </c>
      <c r="B168" s="90" t="s">
        <v>123</v>
      </c>
      <c r="C168" s="50">
        <f>SUMIFS(Depreciation!D2:D11,Depreciation!A2:A11,"&lt;&gt;(Owned)*",Depreciation!C2:C11,C4)</f>
        <v>40000</v>
      </c>
      <c r="D168" s="50">
        <f>SUMIFS(Depreciation!D2:D11,Depreciation!A2:A11,"&lt;&gt;(Owned)*",Depreciation!C2:C11,D4)</f>
        <v>0</v>
      </c>
      <c r="E168" s="50">
        <f>SUMIFS(Depreciation!D2:D11,Depreciation!A2:A11,"&lt;&gt;(Owned)*",Depreciation!C2:C11,E4)</f>
        <v>0</v>
      </c>
      <c r="F168" s="50">
        <f>SUMIFS(Depreciation!D2:D11,Depreciation!A2:A11,"&lt;&gt;(Owned)*",Depreciation!C2:C11,F4)</f>
        <v>0</v>
      </c>
      <c r="G168" s="50">
        <f>SUMIFS(Depreciation!D2:D11,Depreciation!A2:A11,"&lt;&gt;(Owned)*",Depreciation!C2:C11,G4)</f>
        <v>0</v>
      </c>
      <c r="H168" s="50">
        <f>SUMIFS(Depreciation!D2:D11,Depreciation!A2:A11,"&lt;&gt;(Owned)*",Depreciation!C2:C11,H4)</f>
        <v>0</v>
      </c>
      <c r="I168" s="50">
        <f>SUMIFS(Depreciation!D2:D11,Depreciation!A2:A11,"&lt;&gt;(Owned)*",Depreciation!C2:C11,I4)</f>
        <v>0</v>
      </c>
      <c r="J168" s="50">
        <f>SUMIFS(Depreciation!D2:D11,Depreciation!A2:A11,"&lt;&gt;(Owned)*",Depreciation!C2:C11,J4)</f>
        <v>0</v>
      </c>
      <c r="K168" s="50">
        <f>SUMIFS(Depreciation!D2:D11,Depreciation!A2:A11,"&lt;&gt;(Owned)*",Depreciation!C2:C11,K4)</f>
        <v>0</v>
      </c>
      <c r="L168" s="50">
        <f>SUMIFS(Depreciation!D2:D11,Depreciation!A2:A11,"&lt;&gt;(Owned)*",Depreciation!C2:C11,L4)</f>
        <v>0</v>
      </c>
      <c r="M168" s="50">
        <f>SUMIFS(Depreciation!D2:D11,Depreciation!A2:A11,"&lt;&gt;(Owned)*",Depreciation!C2:C11,M4)</f>
        <v>0</v>
      </c>
      <c r="N168" s="50">
        <f>SUMIFS(Depreciation!D2:D11,Depreciation!A2:A11,"&lt;&gt;(Owned)*",Depreciation!C2:C11,N4)</f>
        <v>0</v>
      </c>
    </row>
    <row r="169" spans="1:14" ht="15" thickBot="1">
      <c r="A169"/>
      <c r="B169" s="90" t="s">
        <v>124</v>
      </c>
      <c r="C169" s="50">
        <f ca="1">SUM(Depreciation!I2:I11)</f>
        <v>952.38095238095241</v>
      </c>
      <c r="D169" s="50">
        <f ca="1">SUM(Depreciation!J2:J11)</f>
        <v>952.38095238095241</v>
      </c>
      <c r="E169" s="50">
        <f ca="1">SUM(Depreciation!K2:K11)</f>
        <v>952.38095238095241</v>
      </c>
      <c r="F169" s="50">
        <f ca="1">SUM(Depreciation!L2:L11)</f>
        <v>952.38095238095241</v>
      </c>
      <c r="G169" s="50">
        <f ca="1">SUM(Depreciation!M2:M11)</f>
        <v>952.38095238095241</v>
      </c>
      <c r="H169" s="50">
        <f ca="1">SUM(Depreciation!N2:N11)</f>
        <v>952.38095238095241</v>
      </c>
      <c r="I169" s="50">
        <f ca="1">SUM(Depreciation!O2:O11)</f>
        <v>952.38095238095241</v>
      </c>
      <c r="J169" s="50">
        <f ca="1">SUM(Depreciation!P2:P11)</f>
        <v>952.38095238095241</v>
      </c>
      <c r="K169" s="50">
        <f ca="1">SUM(Depreciation!Q2:Q11)</f>
        <v>952.38095238095241</v>
      </c>
      <c r="L169" s="50">
        <f ca="1">SUM(Depreciation!R2:R11)</f>
        <v>952.38095238095241</v>
      </c>
      <c r="M169" s="50">
        <f ca="1">SUM(Depreciation!S2:S11)</f>
        <v>952.38095238095241</v>
      </c>
      <c r="N169" s="50">
        <f ca="1">SUM(Depreciation!T2:T11)</f>
        <v>952.38095238095241</v>
      </c>
    </row>
    <row r="170" spans="1:14" ht="24" thickBot="1">
      <c r="A170"/>
      <c r="B170" s="101" t="s">
        <v>58</v>
      </c>
      <c r="C170" s="93">
        <f ca="1">SUM(C168:C169)</f>
        <v>40952.380952380954</v>
      </c>
      <c r="D170" s="93">
        <f t="shared" ref="D170:N170" ca="1" si="73">SUM(D168:D169)</f>
        <v>952.38095238095241</v>
      </c>
      <c r="E170" s="93">
        <f t="shared" ca="1" si="73"/>
        <v>952.38095238095241</v>
      </c>
      <c r="F170" s="93">
        <f t="shared" ca="1" si="73"/>
        <v>952.38095238095241</v>
      </c>
      <c r="G170" s="93">
        <f t="shared" ca="1" si="73"/>
        <v>952.38095238095241</v>
      </c>
      <c r="H170" s="93">
        <f t="shared" ca="1" si="73"/>
        <v>952.38095238095241</v>
      </c>
      <c r="I170" s="93">
        <f t="shared" ca="1" si="73"/>
        <v>952.38095238095241</v>
      </c>
      <c r="J170" s="93">
        <f t="shared" ca="1" si="73"/>
        <v>952.38095238095241</v>
      </c>
      <c r="K170" s="93">
        <f t="shared" ca="1" si="73"/>
        <v>952.38095238095241</v>
      </c>
      <c r="L170" s="93">
        <f t="shared" ca="1" si="73"/>
        <v>952.38095238095241</v>
      </c>
      <c r="M170" s="93">
        <f t="shared" ca="1" si="73"/>
        <v>952.38095238095241</v>
      </c>
      <c r="N170" s="93">
        <f t="shared" ca="1" si="73"/>
        <v>952.38095238095241</v>
      </c>
    </row>
    <row r="171" spans="1:14" ht="16.5" customHeight="1">
      <c r="A171"/>
      <c r="B171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</row>
    <row r="172" spans="1:14" ht="23.45">
      <c r="A172" s="84" t="s">
        <v>125</v>
      </c>
    </row>
    <row r="174" spans="1:14">
      <c r="A174" s="86" t="s">
        <v>126</v>
      </c>
      <c r="B174" s="90" t="s">
        <v>127</v>
      </c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B175" s="90" t="s">
        <v>128</v>
      </c>
      <c r="C175" s="4">
        <v>400</v>
      </c>
      <c r="D175" s="4">
        <f>C175</f>
        <v>400</v>
      </c>
      <c r="E175" s="4">
        <f t="shared" ref="E175:N176" si="74">D175</f>
        <v>400</v>
      </c>
      <c r="F175" s="4">
        <f t="shared" si="74"/>
        <v>400</v>
      </c>
      <c r="G175" s="4">
        <f t="shared" si="74"/>
        <v>400</v>
      </c>
      <c r="H175" s="4">
        <f t="shared" si="74"/>
        <v>400</v>
      </c>
      <c r="I175" s="4">
        <f t="shared" si="74"/>
        <v>400</v>
      </c>
      <c r="J175" s="4">
        <f t="shared" si="74"/>
        <v>400</v>
      </c>
      <c r="K175" s="4">
        <f t="shared" si="74"/>
        <v>400</v>
      </c>
      <c r="L175" s="4">
        <f t="shared" si="74"/>
        <v>400</v>
      </c>
      <c r="M175" s="4">
        <f t="shared" si="74"/>
        <v>400</v>
      </c>
      <c r="N175" s="4">
        <f t="shared" si="74"/>
        <v>400</v>
      </c>
    </row>
    <row r="176" spans="1:14">
      <c r="B176" s="90" t="s">
        <v>129</v>
      </c>
      <c r="C176" s="4">
        <v>250</v>
      </c>
      <c r="D176" s="4">
        <f>C176</f>
        <v>250</v>
      </c>
      <c r="E176" s="4">
        <f t="shared" si="74"/>
        <v>250</v>
      </c>
      <c r="F176" s="4">
        <f t="shared" si="74"/>
        <v>250</v>
      </c>
      <c r="G176" s="4">
        <f t="shared" si="74"/>
        <v>250</v>
      </c>
      <c r="H176" s="4">
        <f t="shared" si="74"/>
        <v>250</v>
      </c>
      <c r="I176" s="4">
        <f t="shared" si="74"/>
        <v>250</v>
      </c>
      <c r="J176" s="4">
        <f t="shared" si="74"/>
        <v>250</v>
      </c>
      <c r="K176" s="4">
        <f t="shared" si="74"/>
        <v>250</v>
      </c>
      <c r="L176" s="4">
        <f t="shared" si="74"/>
        <v>250</v>
      </c>
      <c r="M176" s="4">
        <f t="shared" si="74"/>
        <v>250</v>
      </c>
      <c r="N176" s="4">
        <f t="shared" si="74"/>
        <v>250</v>
      </c>
    </row>
    <row r="177" spans="1:14">
      <c r="B177" s="90" t="s">
        <v>130</v>
      </c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B178" s="90" t="s">
        <v>131</v>
      </c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 ht="15" thickBot="1">
      <c r="B179" s="90" t="s">
        <v>132</v>
      </c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 ht="24" thickBot="1">
      <c r="B180" s="101" t="s">
        <v>58</v>
      </c>
      <c r="C180" s="93">
        <f t="shared" ref="C180:N180" si="75">SUM(C174:C179)</f>
        <v>650</v>
      </c>
      <c r="D180" s="93">
        <f t="shared" si="75"/>
        <v>650</v>
      </c>
      <c r="E180" s="93">
        <f t="shared" si="75"/>
        <v>650</v>
      </c>
      <c r="F180" s="93">
        <f t="shared" si="75"/>
        <v>650</v>
      </c>
      <c r="G180" s="93">
        <f t="shared" si="75"/>
        <v>650</v>
      </c>
      <c r="H180" s="93">
        <f t="shared" si="75"/>
        <v>650</v>
      </c>
      <c r="I180" s="93">
        <f t="shared" si="75"/>
        <v>650</v>
      </c>
      <c r="J180" s="93">
        <f t="shared" si="75"/>
        <v>650</v>
      </c>
      <c r="K180" s="93">
        <f t="shared" si="75"/>
        <v>650</v>
      </c>
      <c r="L180" s="93">
        <f t="shared" si="75"/>
        <v>650</v>
      </c>
      <c r="M180" s="93">
        <f t="shared" si="75"/>
        <v>650</v>
      </c>
      <c r="N180" s="93">
        <f t="shared" si="75"/>
        <v>650</v>
      </c>
    </row>
    <row r="181" spans="1:14">
      <c r="B181" s="6"/>
    </row>
    <row r="182" spans="1:14">
      <c r="A182" s="86" t="s">
        <v>133</v>
      </c>
      <c r="B182" s="90" t="s">
        <v>134</v>
      </c>
      <c r="C182" s="4">
        <v>3500</v>
      </c>
      <c r="D182" s="4">
        <v>100</v>
      </c>
      <c r="E182" s="4">
        <f>D182</f>
        <v>100</v>
      </c>
      <c r="F182" s="4">
        <f t="shared" ref="F182:N182" si="76">E182</f>
        <v>100</v>
      </c>
      <c r="G182" s="4">
        <f t="shared" si="76"/>
        <v>100</v>
      </c>
      <c r="H182" s="4">
        <f t="shared" si="76"/>
        <v>100</v>
      </c>
      <c r="I182" s="4">
        <f t="shared" si="76"/>
        <v>100</v>
      </c>
      <c r="J182" s="4">
        <f t="shared" si="76"/>
        <v>100</v>
      </c>
      <c r="K182" s="4">
        <f t="shared" si="76"/>
        <v>100</v>
      </c>
      <c r="L182" s="4">
        <f t="shared" si="76"/>
        <v>100</v>
      </c>
      <c r="M182" s="4">
        <f t="shared" si="76"/>
        <v>100</v>
      </c>
      <c r="N182" s="4">
        <f t="shared" si="76"/>
        <v>100</v>
      </c>
    </row>
    <row r="183" spans="1:14">
      <c r="B183" s="90" t="s">
        <v>135</v>
      </c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>
        <v>1500</v>
      </c>
    </row>
    <row r="184" spans="1:14">
      <c r="B184" s="90" t="s">
        <v>136</v>
      </c>
      <c r="C184" s="4"/>
      <c r="D184" s="4"/>
      <c r="E184" s="4">
        <v>150</v>
      </c>
      <c r="F184" s="4"/>
      <c r="G184" s="4"/>
      <c r="H184" s="4">
        <v>150</v>
      </c>
      <c r="I184" s="4"/>
      <c r="J184" s="4"/>
      <c r="K184" s="4">
        <v>150</v>
      </c>
      <c r="L184" s="4"/>
      <c r="M184" s="4"/>
      <c r="N184" s="4">
        <v>150</v>
      </c>
    </row>
    <row r="185" spans="1:14">
      <c r="B185" s="90" t="s">
        <v>137</v>
      </c>
      <c r="C185" s="4">
        <v>75</v>
      </c>
      <c r="D185" s="4">
        <f>C185</f>
        <v>75</v>
      </c>
      <c r="E185" s="4">
        <v>200</v>
      </c>
      <c r="F185" s="4">
        <f t="shared" ref="F185:N185" si="77">E185</f>
        <v>200</v>
      </c>
      <c r="G185" s="4">
        <f t="shared" si="77"/>
        <v>200</v>
      </c>
      <c r="H185" s="4">
        <f t="shared" si="77"/>
        <v>200</v>
      </c>
      <c r="I185" s="4">
        <f t="shared" si="77"/>
        <v>200</v>
      </c>
      <c r="J185" s="4">
        <f t="shared" si="77"/>
        <v>200</v>
      </c>
      <c r="K185" s="4">
        <f t="shared" si="77"/>
        <v>200</v>
      </c>
      <c r="L185" s="4">
        <f t="shared" si="77"/>
        <v>200</v>
      </c>
      <c r="M185" s="4">
        <f t="shared" si="77"/>
        <v>200</v>
      </c>
      <c r="N185" s="4">
        <f t="shared" si="77"/>
        <v>200</v>
      </c>
    </row>
    <row r="186" spans="1:14" ht="15" thickBot="1">
      <c r="B186" s="90" t="s">
        <v>132</v>
      </c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 ht="24" thickBot="1">
      <c r="B187" s="101" t="s">
        <v>58</v>
      </c>
      <c r="C187" s="93">
        <f t="shared" ref="C187:N187" si="78">SUM(C182:C186)</f>
        <v>3575</v>
      </c>
      <c r="D187" s="93">
        <f t="shared" si="78"/>
        <v>175</v>
      </c>
      <c r="E187" s="93">
        <f t="shared" si="78"/>
        <v>450</v>
      </c>
      <c r="F187" s="93">
        <f t="shared" si="78"/>
        <v>300</v>
      </c>
      <c r="G187" s="93">
        <f t="shared" si="78"/>
        <v>300</v>
      </c>
      <c r="H187" s="93">
        <f t="shared" si="78"/>
        <v>450</v>
      </c>
      <c r="I187" s="93">
        <f t="shared" si="78"/>
        <v>300</v>
      </c>
      <c r="J187" s="93">
        <f t="shared" si="78"/>
        <v>300</v>
      </c>
      <c r="K187" s="93">
        <f t="shared" si="78"/>
        <v>450</v>
      </c>
      <c r="L187" s="93">
        <f t="shared" si="78"/>
        <v>300</v>
      </c>
      <c r="M187" s="93">
        <f t="shared" si="78"/>
        <v>300</v>
      </c>
      <c r="N187" s="93">
        <f t="shared" si="78"/>
        <v>1950</v>
      </c>
    </row>
    <row r="189" spans="1:14">
      <c r="A189" s="86" t="s">
        <v>138</v>
      </c>
      <c r="B189" s="90" t="s">
        <v>139</v>
      </c>
      <c r="C189" s="4">
        <v>99</v>
      </c>
      <c r="D189" s="4">
        <f>C189</f>
        <v>99</v>
      </c>
      <c r="E189" s="4">
        <f t="shared" ref="E189:N189" si="79">D189</f>
        <v>99</v>
      </c>
      <c r="F189" s="4">
        <f t="shared" si="79"/>
        <v>99</v>
      </c>
      <c r="G189" s="4">
        <f t="shared" si="79"/>
        <v>99</v>
      </c>
      <c r="H189" s="4">
        <f t="shared" si="79"/>
        <v>99</v>
      </c>
      <c r="I189" s="4">
        <f t="shared" si="79"/>
        <v>99</v>
      </c>
      <c r="J189" s="4">
        <f t="shared" si="79"/>
        <v>99</v>
      </c>
      <c r="K189" s="4">
        <f t="shared" si="79"/>
        <v>99</v>
      </c>
      <c r="L189" s="4">
        <f t="shared" si="79"/>
        <v>99</v>
      </c>
      <c r="M189" s="4">
        <f t="shared" si="79"/>
        <v>99</v>
      </c>
      <c r="N189" s="4">
        <f t="shared" si="79"/>
        <v>99</v>
      </c>
    </row>
    <row r="190" spans="1:14">
      <c r="B190" s="90" t="s">
        <v>140</v>
      </c>
      <c r="C190" s="4">
        <v>59</v>
      </c>
      <c r="D190" s="4">
        <f>C190</f>
        <v>59</v>
      </c>
      <c r="E190" s="4">
        <f t="shared" ref="E190:N190" si="80">D190</f>
        <v>59</v>
      </c>
      <c r="F190" s="4">
        <f t="shared" si="80"/>
        <v>59</v>
      </c>
      <c r="G190" s="4">
        <f t="shared" si="80"/>
        <v>59</v>
      </c>
      <c r="H190" s="4">
        <f t="shared" si="80"/>
        <v>59</v>
      </c>
      <c r="I190" s="4">
        <f t="shared" si="80"/>
        <v>59</v>
      </c>
      <c r="J190" s="4">
        <f t="shared" si="80"/>
        <v>59</v>
      </c>
      <c r="K190" s="4">
        <f t="shared" si="80"/>
        <v>59</v>
      </c>
      <c r="L190" s="4">
        <f t="shared" si="80"/>
        <v>59</v>
      </c>
      <c r="M190" s="4">
        <f t="shared" si="80"/>
        <v>59</v>
      </c>
      <c r="N190" s="4">
        <f t="shared" si="80"/>
        <v>59</v>
      </c>
    </row>
    <row r="191" spans="1:14">
      <c r="B191" s="90" t="s">
        <v>141</v>
      </c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B192" s="90" t="s">
        <v>142</v>
      </c>
      <c r="C192" s="4">
        <v>20</v>
      </c>
      <c r="D192" s="4">
        <f>C192</f>
        <v>20</v>
      </c>
      <c r="E192" s="4">
        <f t="shared" ref="E192:N192" si="81">D192</f>
        <v>20</v>
      </c>
      <c r="F192" s="4">
        <f t="shared" si="81"/>
        <v>20</v>
      </c>
      <c r="G192" s="4">
        <f t="shared" si="81"/>
        <v>20</v>
      </c>
      <c r="H192" s="4">
        <f t="shared" si="81"/>
        <v>20</v>
      </c>
      <c r="I192" s="4">
        <f t="shared" si="81"/>
        <v>20</v>
      </c>
      <c r="J192" s="4">
        <f t="shared" si="81"/>
        <v>20</v>
      </c>
      <c r="K192" s="4">
        <f t="shared" si="81"/>
        <v>20</v>
      </c>
      <c r="L192" s="4">
        <f t="shared" si="81"/>
        <v>20</v>
      </c>
      <c r="M192" s="4">
        <f t="shared" si="81"/>
        <v>20</v>
      </c>
      <c r="N192" s="4">
        <f t="shared" si="81"/>
        <v>20</v>
      </c>
    </row>
    <row r="193" spans="1:14">
      <c r="B193" s="90" t="s">
        <v>143</v>
      </c>
      <c r="C193" s="4">
        <v>20</v>
      </c>
      <c r="D193" s="4">
        <f>C193</f>
        <v>20</v>
      </c>
      <c r="E193" s="4">
        <f t="shared" ref="E193:N193" si="82">D193</f>
        <v>20</v>
      </c>
      <c r="F193" s="4">
        <f t="shared" si="82"/>
        <v>20</v>
      </c>
      <c r="G193" s="4">
        <f t="shared" si="82"/>
        <v>20</v>
      </c>
      <c r="H193" s="4">
        <f t="shared" si="82"/>
        <v>20</v>
      </c>
      <c r="I193" s="4">
        <f t="shared" si="82"/>
        <v>20</v>
      </c>
      <c r="J193" s="4">
        <f t="shared" si="82"/>
        <v>20</v>
      </c>
      <c r="K193" s="4">
        <f t="shared" si="82"/>
        <v>20</v>
      </c>
      <c r="L193" s="4">
        <f t="shared" si="82"/>
        <v>20</v>
      </c>
      <c r="M193" s="4">
        <f t="shared" si="82"/>
        <v>20</v>
      </c>
      <c r="N193" s="4">
        <f t="shared" si="82"/>
        <v>20</v>
      </c>
    </row>
    <row r="194" spans="1:14">
      <c r="B194" s="90" t="s">
        <v>144</v>
      </c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 ht="15" thickBot="1">
      <c r="B195" s="90" t="s">
        <v>145</v>
      </c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 ht="24" thickBot="1">
      <c r="B196" s="101" t="s">
        <v>58</v>
      </c>
      <c r="C196" s="93">
        <f>SUM(C189:C195)</f>
        <v>198</v>
      </c>
      <c r="D196" s="93">
        <f t="shared" ref="D196:N196" si="83">SUM(D189:D195)</f>
        <v>198</v>
      </c>
      <c r="E196" s="93">
        <f t="shared" si="83"/>
        <v>198</v>
      </c>
      <c r="F196" s="93">
        <f t="shared" si="83"/>
        <v>198</v>
      </c>
      <c r="G196" s="93">
        <f t="shared" si="83"/>
        <v>198</v>
      </c>
      <c r="H196" s="93">
        <f t="shared" si="83"/>
        <v>198</v>
      </c>
      <c r="I196" s="93">
        <f t="shared" si="83"/>
        <v>198</v>
      </c>
      <c r="J196" s="93">
        <f t="shared" si="83"/>
        <v>198</v>
      </c>
      <c r="K196" s="93">
        <f t="shared" si="83"/>
        <v>198</v>
      </c>
      <c r="L196" s="93">
        <f t="shared" si="83"/>
        <v>198</v>
      </c>
      <c r="M196" s="93">
        <f t="shared" si="83"/>
        <v>198</v>
      </c>
      <c r="N196" s="93">
        <f t="shared" si="83"/>
        <v>198</v>
      </c>
    </row>
    <row r="197" spans="1:14">
      <c r="B197" s="6"/>
    </row>
    <row r="198" spans="1:14">
      <c r="A198" s="86" t="s">
        <v>146</v>
      </c>
      <c r="B198" s="90" t="s">
        <v>147</v>
      </c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 ht="15" thickBot="1">
      <c r="B199" s="90" t="s">
        <v>148</v>
      </c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 ht="24" thickBot="1">
      <c r="B200" s="101" t="s">
        <v>58</v>
      </c>
      <c r="C200" s="93">
        <f>SUM(C198:C199)</f>
        <v>0</v>
      </c>
      <c r="D200" s="93">
        <f t="shared" ref="D200:N200" si="84">SUM(D198:D199)</f>
        <v>0</v>
      </c>
      <c r="E200" s="93">
        <f t="shared" si="84"/>
        <v>0</v>
      </c>
      <c r="F200" s="93">
        <f t="shared" si="84"/>
        <v>0</v>
      </c>
      <c r="G200" s="93">
        <f t="shared" si="84"/>
        <v>0</v>
      </c>
      <c r="H200" s="93">
        <f t="shared" si="84"/>
        <v>0</v>
      </c>
      <c r="I200" s="93">
        <f t="shared" si="84"/>
        <v>0</v>
      </c>
      <c r="J200" s="93">
        <f t="shared" si="84"/>
        <v>0</v>
      </c>
      <c r="K200" s="93">
        <f t="shared" si="84"/>
        <v>0</v>
      </c>
      <c r="L200" s="93">
        <f t="shared" si="84"/>
        <v>0</v>
      </c>
      <c r="M200" s="93">
        <f t="shared" si="84"/>
        <v>0</v>
      </c>
      <c r="N200" s="93">
        <f t="shared" si="84"/>
        <v>0</v>
      </c>
    </row>
    <row r="202" spans="1:14">
      <c r="A202" s="86" t="s">
        <v>149</v>
      </c>
      <c r="B202" s="90" t="s">
        <v>150</v>
      </c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B203" s="90" t="s">
        <v>151</v>
      </c>
      <c r="C203" s="4">
        <f>0.75*300</f>
        <v>225</v>
      </c>
      <c r="D203" s="4">
        <f>C203</f>
        <v>225</v>
      </c>
      <c r="E203" s="4">
        <f t="shared" ref="E203:N203" si="85">D203</f>
        <v>225</v>
      </c>
      <c r="F203" s="4">
        <f t="shared" si="85"/>
        <v>225</v>
      </c>
      <c r="G203" s="4">
        <f t="shared" si="85"/>
        <v>225</v>
      </c>
      <c r="H203" s="4">
        <f t="shared" si="85"/>
        <v>225</v>
      </c>
      <c r="I203" s="4">
        <f t="shared" si="85"/>
        <v>225</v>
      </c>
      <c r="J203" s="4">
        <f t="shared" si="85"/>
        <v>225</v>
      </c>
      <c r="K203" s="4">
        <f t="shared" si="85"/>
        <v>225</v>
      </c>
      <c r="L203" s="4">
        <f t="shared" si="85"/>
        <v>225</v>
      </c>
      <c r="M203" s="4">
        <f t="shared" si="85"/>
        <v>225</v>
      </c>
      <c r="N203" s="4">
        <f t="shared" si="85"/>
        <v>225</v>
      </c>
    </row>
    <row r="204" spans="1:14">
      <c r="B204" s="90" t="s">
        <v>152</v>
      </c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B205" s="90" t="s">
        <v>153</v>
      </c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B206" s="90" t="s">
        <v>154</v>
      </c>
      <c r="C206" s="4">
        <v>25</v>
      </c>
      <c r="D206" s="4">
        <f t="shared" ref="D206:N206" si="86">C206</f>
        <v>25</v>
      </c>
      <c r="E206" s="4">
        <f t="shared" si="86"/>
        <v>25</v>
      </c>
      <c r="F206" s="4">
        <f t="shared" si="86"/>
        <v>25</v>
      </c>
      <c r="G206" s="4">
        <f t="shared" si="86"/>
        <v>25</v>
      </c>
      <c r="H206" s="4">
        <f t="shared" si="86"/>
        <v>25</v>
      </c>
      <c r="I206" s="4">
        <f t="shared" si="86"/>
        <v>25</v>
      </c>
      <c r="J206" s="4">
        <f t="shared" si="86"/>
        <v>25</v>
      </c>
      <c r="K206" s="4">
        <f t="shared" si="86"/>
        <v>25</v>
      </c>
      <c r="L206" s="4">
        <f t="shared" si="86"/>
        <v>25</v>
      </c>
      <c r="M206" s="4">
        <f t="shared" si="86"/>
        <v>25</v>
      </c>
      <c r="N206" s="4">
        <f t="shared" si="86"/>
        <v>25</v>
      </c>
    </row>
    <row r="207" spans="1:14" ht="15" thickBot="1">
      <c r="B207" s="90" t="s">
        <v>132</v>
      </c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 ht="24" thickBot="1">
      <c r="B208" s="101" t="s">
        <v>58</v>
      </c>
      <c r="C208" s="93">
        <f>SUM(C202:C207)</f>
        <v>250</v>
      </c>
      <c r="D208" s="93">
        <f t="shared" ref="D208:N208" si="87">SUM(D202:D207)</f>
        <v>250</v>
      </c>
      <c r="E208" s="93">
        <f t="shared" si="87"/>
        <v>250</v>
      </c>
      <c r="F208" s="93">
        <f t="shared" si="87"/>
        <v>250</v>
      </c>
      <c r="G208" s="93">
        <f t="shared" si="87"/>
        <v>250</v>
      </c>
      <c r="H208" s="93">
        <f t="shared" si="87"/>
        <v>250</v>
      </c>
      <c r="I208" s="93">
        <f t="shared" si="87"/>
        <v>250</v>
      </c>
      <c r="J208" s="93">
        <f t="shared" si="87"/>
        <v>250</v>
      </c>
      <c r="K208" s="93">
        <f t="shared" si="87"/>
        <v>250</v>
      </c>
      <c r="L208" s="93">
        <f t="shared" si="87"/>
        <v>250</v>
      </c>
      <c r="M208" s="93">
        <f t="shared" si="87"/>
        <v>250</v>
      </c>
      <c r="N208" s="93">
        <f t="shared" si="87"/>
        <v>250</v>
      </c>
    </row>
    <row r="209" spans="1:14">
      <c r="B209" s="6"/>
    </row>
    <row r="210" spans="1:14">
      <c r="A210" s="86" t="s">
        <v>155</v>
      </c>
      <c r="B210" s="90" t="s">
        <v>156</v>
      </c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B211" s="90" t="s">
        <v>157</v>
      </c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90" t="str">
        <f>A142</f>
        <v>Kilter Tilter -Therapy Version</v>
      </c>
      <c r="B212" s="90" t="s">
        <v>158</v>
      </c>
      <c r="C212" s="4"/>
      <c r="D212" s="4">
        <f>10*2500</f>
        <v>25000</v>
      </c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B213" s="90" t="s">
        <v>159</v>
      </c>
      <c r="C213" s="4">
        <v>10000</v>
      </c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B214" s="90" t="s">
        <v>160</v>
      </c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B215" s="90" t="s">
        <v>161</v>
      </c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90" t="str">
        <f>A143</f>
        <v>Kilter Roller</v>
      </c>
      <c r="B216" s="90" t="s">
        <v>158</v>
      </c>
      <c r="C216" s="4">
        <v>5000</v>
      </c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6"/>
      <c r="B217" s="90" t="s">
        <v>159</v>
      </c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6"/>
      <c r="B218" s="90" t="s">
        <v>160</v>
      </c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6"/>
      <c r="B219" s="90" t="s">
        <v>161</v>
      </c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90" t="str">
        <f>A144</f>
        <v xml:space="preserve">    ---    </v>
      </c>
      <c r="B220" s="90" t="s">
        <v>158</v>
      </c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6"/>
      <c r="B221" s="90" t="s">
        <v>159</v>
      </c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6"/>
      <c r="B222" s="90" t="s">
        <v>160</v>
      </c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6"/>
      <c r="B223" s="90" t="s">
        <v>161</v>
      </c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90" t="str">
        <f>A145</f>
        <v xml:space="preserve">    ---    </v>
      </c>
      <c r="B224" s="90" t="s">
        <v>158</v>
      </c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6"/>
      <c r="B225" s="90" t="s">
        <v>159</v>
      </c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6"/>
      <c r="B226" s="90" t="s">
        <v>160</v>
      </c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6"/>
      <c r="B227" s="90" t="s">
        <v>161</v>
      </c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90" t="str">
        <f>A146</f>
        <v xml:space="preserve">    ---    </v>
      </c>
      <c r="B228" s="90" t="s">
        <v>158</v>
      </c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90"/>
      <c r="B229" s="90" t="s">
        <v>159</v>
      </c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90"/>
      <c r="B230" s="90" t="s">
        <v>160</v>
      </c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 ht="15" thickBot="1">
      <c r="B231" s="90" t="s">
        <v>161</v>
      </c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 ht="24" thickBot="1">
      <c r="B232" s="101" t="s">
        <v>58</v>
      </c>
      <c r="C232" s="93">
        <f t="shared" ref="C232:N232" si="88">SUM(C210:C231)</f>
        <v>15000</v>
      </c>
      <c r="D232" s="93">
        <f t="shared" si="88"/>
        <v>25000</v>
      </c>
      <c r="E232" s="93">
        <f t="shared" si="88"/>
        <v>0</v>
      </c>
      <c r="F232" s="93">
        <f t="shared" si="88"/>
        <v>0</v>
      </c>
      <c r="G232" s="93">
        <f t="shared" si="88"/>
        <v>0</v>
      </c>
      <c r="H232" s="93">
        <f t="shared" si="88"/>
        <v>0</v>
      </c>
      <c r="I232" s="93">
        <f t="shared" si="88"/>
        <v>0</v>
      </c>
      <c r="J232" s="93">
        <f t="shared" si="88"/>
        <v>0</v>
      </c>
      <c r="K232" s="93">
        <f t="shared" si="88"/>
        <v>0</v>
      </c>
      <c r="L232" s="93">
        <f t="shared" si="88"/>
        <v>0</v>
      </c>
      <c r="M232" s="93">
        <f t="shared" si="88"/>
        <v>0</v>
      </c>
      <c r="N232" s="93">
        <f t="shared" si="88"/>
        <v>0</v>
      </c>
    </row>
    <row r="234" spans="1:14">
      <c r="A234" s="86" t="s">
        <v>162</v>
      </c>
      <c r="B234" s="160" t="s">
        <v>163</v>
      </c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B235" s="160" t="s">
        <v>164</v>
      </c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B236" s="160" t="s">
        <v>165</v>
      </c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B237" s="160" t="s">
        <v>166</v>
      </c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 ht="15" thickBot="1">
      <c r="B238" s="160" t="s">
        <v>167</v>
      </c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 ht="24" thickBot="1">
      <c r="B239" s="101" t="s">
        <v>58</v>
      </c>
      <c r="C239" s="93">
        <f>SUM(C234:C238)</f>
        <v>0</v>
      </c>
      <c r="D239" s="93">
        <f t="shared" ref="D239" si="89">SUM(D234:D238)</f>
        <v>0</v>
      </c>
      <c r="E239" s="93">
        <f t="shared" ref="E239" si="90">SUM(E234:E238)</f>
        <v>0</v>
      </c>
      <c r="F239" s="93">
        <f t="shared" ref="F239" si="91">SUM(F234:F238)</f>
        <v>0</v>
      </c>
      <c r="G239" s="93">
        <f t="shared" ref="G239" si="92">SUM(G234:G238)</f>
        <v>0</v>
      </c>
      <c r="H239" s="93">
        <f t="shared" ref="H239" si="93">SUM(H234:H238)</f>
        <v>0</v>
      </c>
      <c r="I239" s="93">
        <f t="shared" ref="I239" si="94">SUM(I234:I238)</f>
        <v>0</v>
      </c>
      <c r="J239" s="93">
        <f t="shared" ref="J239" si="95">SUM(J234:J238)</f>
        <v>0</v>
      </c>
      <c r="K239" s="93">
        <f t="shared" ref="K239" si="96">SUM(K234:K238)</f>
        <v>0</v>
      </c>
      <c r="L239" s="93">
        <f t="shared" ref="L239" si="97">SUM(L234:L238)</f>
        <v>0</v>
      </c>
      <c r="M239" s="93">
        <f t="shared" ref="M239" si="98">SUM(M234:M238)</f>
        <v>0</v>
      </c>
      <c r="N239" s="93">
        <f t="shared" ref="N239" si="99">SUM(N234:N238)</f>
        <v>0</v>
      </c>
    </row>
    <row r="241" spans="1:14" ht="23.45">
      <c r="A241" s="111" t="s">
        <v>168</v>
      </c>
      <c r="B241" s="6"/>
    </row>
    <row r="243" spans="1:14" ht="18">
      <c r="A243" s="112" t="s">
        <v>74</v>
      </c>
    </row>
    <row r="244" spans="1:14">
      <c r="A244" s="109" t="s">
        <v>169</v>
      </c>
      <c r="B244" s="109" t="s">
        <v>170</v>
      </c>
      <c r="C244" s="109" t="s">
        <v>171</v>
      </c>
      <c r="D244" s="109" t="s">
        <v>171</v>
      </c>
      <c r="E244" s="109" t="s">
        <v>171</v>
      </c>
      <c r="F244" s="109" t="s">
        <v>171</v>
      </c>
      <c r="G244" s="109" t="s">
        <v>171</v>
      </c>
      <c r="H244" s="109" t="s">
        <v>171</v>
      </c>
      <c r="I244" s="109" t="s">
        <v>171</v>
      </c>
      <c r="J244" s="109" t="s">
        <v>171</v>
      </c>
      <c r="K244" s="109" t="s">
        <v>171</v>
      </c>
      <c r="L244" s="109" t="s">
        <v>171</v>
      </c>
      <c r="M244" s="109" t="s">
        <v>171</v>
      </c>
      <c r="N244" s="109" t="s">
        <v>171</v>
      </c>
    </row>
    <row r="245" spans="1:14">
      <c r="A245" s="61" t="s">
        <v>172</v>
      </c>
      <c r="B245" s="4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1:14">
      <c r="A246" s="61"/>
      <c r="B246" s="4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1:14">
      <c r="A247" s="61"/>
      <c r="B247" s="4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1:14">
      <c r="A248" s="61"/>
      <c r="B248" s="4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1:14">
      <c r="A249" s="61"/>
      <c r="B249" s="4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1:14">
      <c r="A250" s="61"/>
      <c r="B250" s="4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1:14">
      <c r="A251" s="61"/>
      <c r="B251" s="4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1:14">
      <c r="A252" s="61"/>
      <c r="B252" s="4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1:14">
      <c r="A253" s="61"/>
      <c r="B253" s="4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1:14" ht="15" thickBot="1">
      <c r="A254" s="61"/>
      <c r="B254" s="4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1:14" ht="24" thickBot="1">
      <c r="B255" s="101" t="s">
        <v>58</v>
      </c>
      <c r="C255" s="93">
        <f>SUMPRODUCT(B245:B254,C245:C254)</f>
        <v>0</v>
      </c>
      <c r="D255" s="93">
        <f>SUMPRODUCT(B245:B254,D245:D254)</f>
        <v>0</v>
      </c>
      <c r="E255" s="93">
        <f>SUMPRODUCT(B245:B254,E245:E254)</f>
        <v>0</v>
      </c>
      <c r="F255" s="93">
        <f>SUMPRODUCT(B245:B254,F245:F254)</f>
        <v>0</v>
      </c>
      <c r="G255" s="93">
        <f>SUMPRODUCT(B245:B254,G245:G254)</f>
        <v>0</v>
      </c>
      <c r="H255" s="93">
        <f>SUMPRODUCT(B245:B254,H245:H254)</f>
        <v>0</v>
      </c>
      <c r="I255" s="93">
        <f>SUMPRODUCT(B245:B254,I245:I254)</f>
        <v>0</v>
      </c>
      <c r="J255" s="93">
        <f>SUMPRODUCT(B245:B254,J245:J254)</f>
        <v>0</v>
      </c>
      <c r="K255" s="93">
        <f>SUMPRODUCT(B245:B254,K245:K254)</f>
        <v>0</v>
      </c>
      <c r="L255" s="93">
        <f>SUMPRODUCT(B245:B254,L245:L254)</f>
        <v>0</v>
      </c>
      <c r="M255" s="93">
        <f>SUMPRODUCT(B245:B254,M245:M254)</f>
        <v>0</v>
      </c>
      <c r="N255" s="93">
        <f>SUMPRODUCT(B245:B254,N245:N254)</f>
        <v>0</v>
      </c>
    </row>
    <row r="256" spans="1:14" ht="18">
      <c r="A256" s="112" t="s">
        <v>173</v>
      </c>
    </row>
    <row r="257" spans="1:14">
      <c r="A257" s="109" t="s">
        <v>169</v>
      </c>
      <c r="B257" s="109" t="s">
        <v>174</v>
      </c>
      <c r="C257" s="109" t="s">
        <v>171</v>
      </c>
      <c r="D257" s="109" t="s">
        <v>171</v>
      </c>
      <c r="E257" s="109" t="s">
        <v>171</v>
      </c>
      <c r="F257" s="109" t="s">
        <v>171</v>
      </c>
      <c r="G257" s="109" t="s">
        <v>171</v>
      </c>
      <c r="H257" s="109" t="s">
        <v>171</v>
      </c>
      <c r="I257" s="109" t="s">
        <v>171</v>
      </c>
      <c r="J257" s="109" t="s">
        <v>171</v>
      </c>
      <c r="K257" s="109" t="s">
        <v>171</v>
      </c>
      <c r="L257" s="109" t="s">
        <v>171</v>
      </c>
      <c r="M257" s="109" t="s">
        <v>171</v>
      </c>
      <c r="N257" s="109" t="s">
        <v>171</v>
      </c>
    </row>
    <row r="258" spans="1:14">
      <c r="A258" s="61"/>
      <c r="B258" s="4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1:14">
      <c r="A259" s="61"/>
      <c r="B259" s="4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1:14">
      <c r="A260" s="61"/>
      <c r="B260" s="4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1:14">
      <c r="A261" s="61"/>
      <c r="B261" s="4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1:14">
      <c r="A262" s="61"/>
      <c r="B262" s="4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1:14">
      <c r="A263" s="61"/>
      <c r="B263" s="4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1:14">
      <c r="A264" s="61"/>
      <c r="B264" s="4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1:14">
      <c r="A265" s="61"/>
      <c r="B265" s="4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1:14">
      <c r="A266" s="61"/>
      <c r="B266" s="4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1:14" ht="15" thickBot="1">
      <c r="A267" s="61"/>
      <c r="B267" s="4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1:14" ht="24" thickBot="1">
      <c r="B268" s="101" t="s">
        <v>58</v>
      </c>
      <c r="C268" s="93">
        <f>SUMPRODUCT(B258:B267,C258:C267)</f>
        <v>0</v>
      </c>
      <c r="D268" s="93">
        <f>SUMPRODUCT(B258:B267,D258:D267)</f>
        <v>0</v>
      </c>
      <c r="E268" s="93">
        <f>SUMPRODUCT(B258:B267,E258:E267)</f>
        <v>0</v>
      </c>
      <c r="F268" s="93">
        <f>SUMPRODUCT(B258:B267,F258:F267)</f>
        <v>0</v>
      </c>
      <c r="G268" s="93">
        <f>SUMPRODUCT(B258:B267,G258:G267)</f>
        <v>0</v>
      </c>
      <c r="H268" s="93">
        <f>SUMPRODUCT(B258:B267,H258:H267)</f>
        <v>0</v>
      </c>
      <c r="I268" s="93">
        <f>SUMPRODUCT(B258:B267,I258:I267)</f>
        <v>0</v>
      </c>
      <c r="J268" s="93">
        <f>SUMPRODUCT(B258:B267,J258:J267)</f>
        <v>0</v>
      </c>
      <c r="K268" s="93">
        <f>SUMPRODUCT(B258:B267,K258:K267)</f>
        <v>0</v>
      </c>
      <c r="L268" s="93">
        <f>SUMPRODUCT(B258:B267,L258:L267)</f>
        <v>0</v>
      </c>
      <c r="M268" s="93">
        <f>SUMPRODUCT(B258:B267,M258:M267)</f>
        <v>0</v>
      </c>
      <c r="N268" s="93">
        <f>SUMPRODUCT(B258:B267,N258:N267)</f>
        <v>0</v>
      </c>
    </row>
    <row r="269" spans="1:14" ht="18">
      <c r="A269" s="112" t="s">
        <v>175</v>
      </c>
    </row>
    <row r="270" spans="1:14">
      <c r="A270" s="109" t="s">
        <v>169</v>
      </c>
      <c r="B270" s="109" t="s">
        <v>174</v>
      </c>
      <c r="C270" s="109" t="s">
        <v>171</v>
      </c>
      <c r="D270" s="109" t="s">
        <v>171</v>
      </c>
      <c r="E270" s="109" t="s">
        <v>171</v>
      </c>
      <c r="F270" s="109" t="s">
        <v>171</v>
      </c>
      <c r="G270" s="109" t="s">
        <v>171</v>
      </c>
      <c r="H270" s="109" t="s">
        <v>171</v>
      </c>
      <c r="I270" s="109" t="s">
        <v>171</v>
      </c>
      <c r="J270" s="109" t="s">
        <v>171</v>
      </c>
      <c r="K270" s="109" t="s">
        <v>171</v>
      </c>
      <c r="L270" s="109" t="s">
        <v>171</v>
      </c>
      <c r="M270" s="109" t="s">
        <v>171</v>
      </c>
      <c r="N270" s="109" t="s">
        <v>171</v>
      </c>
    </row>
    <row r="271" spans="1:14">
      <c r="A271" s="61" t="s">
        <v>176</v>
      </c>
      <c r="B271" s="4">
        <v>1000</v>
      </c>
      <c r="C271" s="57">
        <v>1</v>
      </c>
      <c r="D271" s="57">
        <v>1</v>
      </c>
      <c r="E271" s="57">
        <v>1</v>
      </c>
      <c r="F271" s="57">
        <v>1</v>
      </c>
      <c r="G271" s="57">
        <v>1</v>
      </c>
      <c r="H271" s="57">
        <v>1</v>
      </c>
      <c r="I271" s="57">
        <v>1</v>
      </c>
      <c r="J271" s="57">
        <v>1</v>
      </c>
      <c r="K271" s="57">
        <v>1</v>
      </c>
      <c r="L271" s="57">
        <v>1</v>
      </c>
      <c r="M271" s="57">
        <v>1</v>
      </c>
      <c r="N271" s="57">
        <v>1</v>
      </c>
    </row>
    <row r="272" spans="1:14">
      <c r="A272" s="61"/>
      <c r="B272" s="4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1:14">
      <c r="A273" s="61"/>
      <c r="B273" s="4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1:14">
      <c r="A274" s="61"/>
      <c r="B274" s="4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1:14">
      <c r="A275" s="61"/>
      <c r="B275" s="4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1:14">
      <c r="A276" s="61"/>
      <c r="B276" s="4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1:14">
      <c r="A277" s="61"/>
      <c r="B277" s="4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1:14">
      <c r="A278" s="61"/>
      <c r="B278" s="4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1:14">
      <c r="A279" s="61"/>
      <c r="B279" s="4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1:14" ht="15" thickBot="1">
      <c r="A280" s="61"/>
      <c r="B280" s="4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1:14" ht="24" thickBot="1">
      <c r="B281" s="101" t="s">
        <v>58</v>
      </c>
      <c r="C281" s="93">
        <f>SUMPRODUCT(B271:B280,C271:C280)</f>
        <v>1000</v>
      </c>
      <c r="D281" s="93">
        <f>SUMPRODUCT(B271:B280,D271:D280)</f>
        <v>1000</v>
      </c>
      <c r="E281" s="93">
        <f>SUMPRODUCT(B271:B280,E271:E280)</f>
        <v>1000</v>
      </c>
      <c r="F281" s="93">
        <f>SUMPRODUCT(B271:B280,F271:F280)</f>
        <v>1000</v>
      </c>
      <c r="G281" s="93">
        <f>SUMPRODUCT(B271:B280,G271:G280)</f>
        <v>1000</v>
      </c>
      <c r="H281" s="93">
        <f>SUMPRODUCT(B271:B280,H271:H280)</f>
        <v>1000</v>
      </c>
      <c r="I281" s="93">
        <f>SUMPRODUCT(B271:B280,I271:I280)</f>
        <v>1000</v>
      </c>
      <c r="J281" s="93">
        <f>SUMPRODUCT(B271:B280,J271:J280)</f>
        <v>1000</v>
      </c>
      <c r="K281" s="93">
        <f>SUMPRODUCT(B271:B280,K271:K280)</f>
        <v>1000</v>
      </c>
      <c r="L281" s="93">
        <f>SUMPRODUCT(B271:B280,L271:L280)</f>
        <v>1000</v>
      </c>
      <c r="M281" s="93">
        <f>SUMPRODUCT(B271:B280,M271:M280)</f>
        <v>1000</v>
      </c>
      <c r="N281" s="93">
        <f>SUMPRODUCT(B271:B280,N271:N280)</f>
        <v>1000</v>
      </c>
    </row>
    <row r="282" spans="1:14">
      <c r="A282" s="109" t="s">
        <v>177</v>
      </c>
    </row>
    <row r="283" spans="1:14">
      <c r="A283" s="142" t="s">
        <v>178</v>
      </c>
      <c r="B283" s="105" t="s">
        <v>179</v>
      </c>
      <c r="C283" s="113">
        <f>COUNTIF('Pro Forma'!B8:B12,"&gt;0")</f>
        <v>1</v>
      </c>
      <c r="D283" s="113">
        <f>C283</f>
        <v>1</v>
      </c>
      <c r="E283" s="113">
        <f>D283</f>
        <v>1</v>
      </c>
      <c r="F283" s="113">
        <f t="shared" ref="F283:N283" si="100">E283</f>
        <v>1</v>
      </c>
      <c r="G283" s="113">
        <f t="shared" si="100"/>
        <v>1</v>
      </c>
      <c r="H283" s="113">
        <f t="shared" si="100"/>
        <v>1</v>
      </c>
      <c r="I283" s="113">
        <f t="shared" si="100"/>
        <v>1</v>
      </c>
      <c r="J283" s="113">
        <f t="shared" si="100"/>
        <v>1</v>
      </c>
      <c r="K283" s="113">
        <f t="shared" si="100"/>
        <v>1</v>
      </c>
      <c r="L283" s="113">
        <f t="shared" si="100"/>
        <v>1</v>
      </c>
      <c r="M283" s="113">
        <f t="shared" si="100"/>
        <v>1</v>
      </c>
      <c r="N283" s="113">
        <f t="shared" si="100"/>
        <v>1</v>
      </c>
    </row>
    <row r="284" spans="1:14">
      <c r="B284" s="105" t="s">
        <v>180</v>
      </c>
      <c r="C284" s="114">
        <f t="shared" ref="C284:N284" si="101">SUM(C245:C254)</f>
        <v>0</v>
      </c>
      <c r="D284" s="113">
        <f t="shared" si="101"/>
        <v>0</v>
      </c>
      <c r="E284" s="113">
        <f t="shared" si="101"/>
        <v>0</v>
      </c>
      <c r="F284" s="113">
        <f t="shared" si="101"/>
        <v>0</v>
      </c>
      <c r="G284" s="113">
        <f t="shared" si="101"/>
        <v>0</v>
      </c>
      <c r="H284" s="113">
        <f t="shared" si="101"/>
        <v>0</v>
      </c>
      <c r="I284" s="113">
        <f t="shared" si="101"/>
        <v>0</v>
      </c>
      <c r="J284" s="113">
        <f t="shared" si="101"/>
        <v>0</v>
      </c>
      <c r="K284" s="113">
        <f t="shared" si="101"/>
        <v>0</v>
      </c>
      <c r="L284" s="113">
        <f t="shared" si="101"/>
        <v>0</v>
      </c>
      <c r="M284" s="113">
        <f t="shared" si="101"/>
        <v>0</v>
      </c>
      <c r="N284" s="113">
        <f t="shared" si="101"/>
        <v>0</v>
      </c>
    </row>
    <row r="285" spans="1:14">
      <c r="B285" s="105" t="s">
        <v>181</v>
      </c>
      <c r="C285" s="113">
        <f t="shared" ref="C285:N285" si="102">SUM(C258:C266)</f>
        <v>0</v>
      </c>
      <c r="D285" s="113">
        <f t="shared" si="102"/>
        <v>0</v>
      </c>
      <c r="E285" s="113">
        <f t="shared" si="102"/>
        <v>0</v>
      </c>
      <c r="F285" s="113">
        <f t="shared" si="102"/>
        <v>0</v>
      </c>
      <c r="G285" s="113">
        <f t="shared" si="102"/>
        <v>0</v>
      </c>
      <c r="H285" s="113">
        <f t="shared" si="102"/>
        <v>0</v>
      </c>
      <c r="I285" s="113">
        <f t="shared" si="102"/>
        <v>0</v>
      </c>
      <c r="J285" s="113">
        <f t="shared" si="102"/>
        <v>0</v>
      </c>
      <c r="K285" s="113">
        <f t="shared" si="102"/>
        <v>0</v>
      </c>
      <c r="L285" s="113">
        <f t="shared" si="102"/>
        <v>0</v>
      </c>
      <c r="M285" s="113">
        <f t="shared" si="102"/>
        <v>0</v>
      </c>
      <c r="N285" s="113">
        <f t="shared" si="102"/>
        <v>0</v>
      </c>
    </row>
    <row r="286" spans="1:14">
      <c r="B286" s="105" t="s">
        <v>182</v>
      </c>
      <c r="C286" s="113">
        <f t="shared" ref="C286:N286" si="103">SUM(C271:C279)</f>
        <v>1</v>
      </c>
      <c r="D286" s="113">
        <f t="shared" si="103"/>
        <v>1</v>
      </c>
      <c r="E286" s="113">
        <f t="shared" si="103"/>
        <v>1</v>
      </c>
      <c r="F286" s="113">
        <f t="shared" si="103"/>
        <v>1</v>
      </c>
      <c r="G286" s="113">
        <f t="shared" si="103"/>
        <v>1</v>
      </c>
      <c r="H286" s="113">
        <f t="shared" si="103"/>
        <v>1</v>
      </c>
      <c r="I286" s="113">
        <f t="shared" si="103"/>
        <v>1</v>
      </c>
      <c r="J286" s="113">
        <f t="shared" si="103"/>
        <v>1</v>
      </c>
      <c r="K286" s="113">
        <f t="shared" si="103"/>
        <v>1</v>
      </c>
      <c r="L286" s="113">
        <f t="shared" si="103"/>
        <v>1</v>
      </c>
      <c r="M286" s="113">
        <f t="shared" si="103"/>
        <v>1</v>
      </c>
      <c r="N286" s="113">
        <f t="shared" si="103"/>
        <v>1</v>
      </c>
    </row>
    <row r="287" spans="1:14" ht="23.45">
      <c r="B287" s="101" t="s">
        <v>58</v>
      </c>
      <c r="C287" s="115">
        <f>SUM(C283:C286)</f>
        <v>2</v>
      </c>
      <c r="D287" s="115">
        <f t="shared" ref="D287:N287" si="104">SUM(D283:D286)</f>
        <v>2</v>
      </c>
      <c r="E287" s="115">
        <f t="shared" si="104"/>
        <v>2</v>
      </c>
      <c r="F287" s="115">
        <f t="shared" si="104"/>
        <v>2</v>
      </c>
      <c r="G287" s="115">
        <f t="shared" si="104"/>
        <v>2</v>
      </c>
      <c r="H287" s="115">
        <f t="shared" si="104"/>
        <v>2</v>
      </c>
      <c r="I287" s="115">
        <f t="shared" si="104"/>
        <v>2</v>
      </c>
      <c r="J287" s="115">
        <f t="shared" si="104"/>
        <v>2</v>
      </c>
      <c r="K287" s="115">
        <f t="shared" si="104"/>
        <v>2</v>
      </c>
      <c r="L287" s="115">
        <f t="shared" si="104"/>
        <v>2</v>
      </c>
      <c r="M287" s="115">
        <f t="shared" si="104"/>
        <v>2</v>
      </c>
      <c r="N287" s="115">
        <f t="shared" si="104"/>
        <v>2</v>
      </c>
    </row>
    <row r="288" spans="1:14">
      <c r="A288" s="86" t="s">
        <v>183</v>
      </c>
    </row>
    <row r="289" spans="1:14">
      <c r="A289" s="116" t="s">
        <v>184</v>
      </c>
      <c r="B289" s="64">
        <v>6.2E-2</v>
      </c>
      <c r="C289" s="50">
        <f xml:space="preserve"> IF(A283 = "Founder(s) NOT Taxed (in gray below)",(C255+C268+C281)*B289,(C138+C255+C268+C281)*B289)</f>
        <v>62</v>
      </c>
      <c r="D289" s="50">
        <f xml:space="preserve"> IF(A283 = "Founder(s) NOT Taxed (in gray below)",(D255+D268+D281)*B289,(D138+D255+D268+D281)*B289)</f>
        <v>62</v>
      </c>
      <c r="E289" s="50">
        <f xml:space="preserve"> IF(A283 = "Founder(s) NOT Taxed (in gray below)",(E255+E268+E281)*B289,(E138+E255+E268+E281)*B289)</f>
        <v>62</v>
      </c>
      <c r="F289" s="50">
        <f xml:space="preserve"> IF(A283 = "Founder(s) NOT Taxed (in gray below)",(F255+F268+F281)*B289,(F138+F255+F268+F281)*B289)</f>
        <v>62</v>
      </c>
      <c r="G289" s="50">
        <f xml:space="preserve"> IF(A283 = "Founder(s) NOT Taxed (in gray below)",(G255+G268+G281)*B289,(G138+G255+G268+G281)*B289)</f>
        <v>62</v>
      </c>
      <c r="H289" s="50">
        <f xml:space="preserve"> IF(A283 = "Founder(s) NOT Taxed (in gray below)",(H255+H268+H281)*B289,(H138+H255+H268+H281)*B289)</f>
        <v>62</v>
      </c>
      <c r="I289" s="50">
        <f xml:space="preserve"> IF(A283 = "Founder(s) NOT Taxed (in gray below)",(I255+I268+I281)*B289,(I138+I255+I268+I281)*B289)</f>
        <v>62</v>
      </c>
      <c r="J289" s="50">
        <f xml:space="preserve"> IF(A283 = "Founder(s) NOT Taxed (in gray below)",(J255+J268+J281)*B289,(J138+J255+J268+J281)*B289)</f>
        <v>62</v>
      </c>
      <c r="K289" s="50">
        <f xml:space="preserve"> IF(A283 = "Founder(s) NOT Taxed (in gray below)",(K255+K268+K281)*B289,(K138+K255+K268+K281)*B289)</f>
        <v>62</v>
      </c>
      <c r="L289" s="50">
        <f xml:space="preserve"> IF(A283 = "Founder(s) NOT Taxed (in gray below)",(L255+L268+L281)*B289,(L138+L255+L268+L281)*B289)</f>
        <v>62</v>
      </c>
      <c r="M289" s="50">
        <f xml:space="preserve"> IF(A283 = "Founder(s) NOT Taxed (in gray below)",(M255+M268+M281)*B289,(M138+M255+M268+M281)*B289)</f>
        <v>62</v>
      </c>
      <c r="N289" s="50">
        <f xml:space="preserve"> IF(A283 = "Founder(s) NOT Taxed (in gray below)",(N255+N268+N281)*B289,(N138+N255+N268+N281)*B289)</f>
        <v>62</v>
      </c>
    </row>
    <row r="290" spans="1:14">
      <c r="A290" s="116" t="s">
        <v>185</v>
      </c>
      <c r="B290" s="4">
        <v>102000</v>
      </c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</row>
    <row r="291" spans="1:14">
      <c r="A291" s="116" t="s">
        <v>186</v>
      </c>
      <c r="B291" s="63">
        <v>1.4500000000000001E-2</v>
      </c>
      <c r="C291" s="50">
        <f xml:space="preserve"> IF(A283 = "Founder(s) NOT Taxed (in gray below)",(C255+C268+C281)*B291,(C138+C255+C268+C281)*B291)</f>
        <v>14.5</v>
      </c>
      <c r="D291" s="50">
        <f xml:space="preserve"> IF(A283 = "Founder(s) NOT Taxed (in gray below)",(D255+D268+D281)*B291,(D138+D255+D268+D281)*B291)</f>
        <v>14.5</v>
      </c>
      <c r="E291" s="50">
        <f xml:space="preserve"> IF(A283 = "Founder(s) NOT Taxed (in gray below)",(E255+E268+E281)*B291,(E138+E255+E268+E281)*B291)</f>
        <v>14.5</v>
      </c>
      <c r="F291" s="50">
        <f xml:space="preserve"> IF(A283 = "Founder(s) NOT Taxed (in gray below)",(F255+F268+F281)*B291,(F138+F255+F268+F281)*B291)</f>
        <v>14.5</v>
      </c>
      <c r="G291" s="50">
        <f xml:space="preserve"> IF(A283 = "Founder(s) NOT Taxed (in gray below)",(G255+G268+G281)*B291,(G138+G255+G268+G281)*B291)</f>
        <v>14.5</v>
      </c>
      <c r="H291" s="50">
        <f xml:space="preserve"> IF(A283 = "Founder(s) NOT Taxed (in gray below)",(H255+H268+H281)*B291,(H138+H255+H268+H281)*B291)</f>
        <v>14.5</v>
      </c>
      <c r="I291" s="50">
        <f xml:space="preserve"> IF(A283 = "Founder(s) NOT Taxed (in gray below)",(I255+I268+I281)*B291,(I138+I255+I268+I281)*B291)</f>
        <v>14.5</v>
      </c>
      <c r="J291" s="50">
        <f xml:space="preserve"> IF(A283 = "Founder(s) NOT Taxed (in gray below)",(J255+J268+J281)*B291,(J138+J255+J268+J281)*B291)</f>
        <v>14.5</v>
      </c>
      <c r="K291" s="50">
        <f xml:space="preserve"> IF(A283 = "Founder(s) NOT Taxed (in gray below)",(K255+K268+K281)*B291,(K138+K255+K268+K281)*B291)</f>
        <v>14.5</v>
      </c>
      <c r="L291" s="50">
        <f xml:space="preserve"> IF(A283 = "Founder(s) NOT Taxed (in gray below)",(L255+L268+L281)*B291,(L138+L255+L268+L281)*B291)</f>
        <v>14.5</v>
      </c>
      <c r="M291" s="50">
        <f xml:space="preserve"> IF(A283 = "Founder(s) NOT Taxed (in gray below)",(M255+M268+M281)*B291,(M138+M255+M268+M281)*B291)</f>
        <v>14.5</v>
      </c>
      <c r="N291" s="50">
        <f xml:space="preserve"> IF(A283 = "Founder(s) NOT Taxed (in gray below)",(N255+N268+N281)*B291,(N138+N255+N268+N281)*B291)</f>
        <v>14.5</v>
      </c>
    </row>
    <row r="292" spans="1:14">
      <c r="A292" s="116" t="s">
        <v>187</v>
      </c>
      <c r="B292" s="63">
        <v>8.0000000000000002E-3</v>
      </c>
      <c r="C292" s="50">
        <f xml:space="preserve"> IF(A283 = "Founder(s) NOT Taxed (in gray below)",(C287-C283)*B292*B293,(C287)*B292*B293)</f>
        <v>56</v>
      </c>
      <c r="D292" s="50">
        <f xml:space="preserve"> IF(A283 = "Founder(s) NOT Taxed (in gray Below)",(D287-D283)*B292*B293,(D287)*B292*B293)</f>
        <v>56</v>
      </c>
      <c r="E292" s="50">
        <f xml:space="preserve"> IF(A283 = "Founder(s) NOT Taxed (in gray Below)",(E287-E283)*B292*B293,(E287)*B292*B293)</f>
        <v>56</v>
      </c>
      <c r="F292" s="50">
        <f xml:space="preserve"> IF(A283 = "Founder(s) NOT Taxed (in gray Below)",(F287-F283)*B292*B293,(F287)*B292*B293)</f>
        <v>56</v>
      </c>
      <c r="G292" s="50">
        <f xml:space="preserve"> IF(A283 = "Founder(s) NOT Taxed (in gray Below)",(G287-G283)*B292*B293,(G287)*B292*B293)</f>
        <v>56</v>
      </c>
      <c r="H292" s="50">
        <f xml:space="preserve"> IF(A283 = "Founder(s) NOT Taxed (in gray Below)",(H287-H283)*B292*B293,(H287)*B292*B293)</f>
        <v>56</v>
      </c>
      <c r="I292" s="50">
        <f xml:space="preserve"> IF(A283 = "Founder(s) NOT Taxed (in gray Below)",(I287-I283)*B292*B293,(I287)*B292*B293)</f>
        <v>56</v>
      </c>
      <c r="J292" s="50">
        <f xml:space="preserve"> IF(A283 = "Founder(s) NOT Taxed (in gray Below)",(J287-J283)*B292*B293,(J287)*B292*B293)</f>
        <v>56</v>
      </c>
      <c r="K292" s="50">
        <f xml:space="preserve"> IF(A283 = "Founder(s) NOT Taxed (in gray Below)",(K287-K283)*B292*B293,(K287)*B292*B293)</f>
        <v>56</v>
      </c>
      <c r="L292" s="50">
        <f xml:space="preserve"> IF(A283 = "Founder(s) NOT Taxed (in gray Below)",(L287-L283)*B292*B293,(L287)*B292*B293)</f>
        <v>56</v>
      </c>
      <c r="M292" s="50">
        <f xml:space="preserve"> IF(A283 = "Founder(s) NOT Taxed (in gray Below)",(M287-M283)*B292*B293,(M287)*B292*B293)</f>
        <v>56</v>
      </c>
      <c r="N292" s="50">
        <f xml:space="preserve"> IF(A283 = "Founder(s) NOT Taxed (in gray Below)",(N287-N283)*B292*B293,(N287)*B292*B293)</f>
        <v>56</v>
      </c>
    </row>
    <row r="293" spans="1:14">
      <c r="A293" s="116" t="s">
        <v>188</v>
      </c>
      <c r="B293" s="4">
        <v>7000</v>
      </c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</row>
    <row r="294" spans="1:14">
      <c r="A294" s="116" t="s">
        <v>189</v>
      </c>
      <c r="B294" s="63">
        <v>2.7E-2</v>
      </c>
      <c r="C294" s="50">
        <f xml:space="preserve"> IF(A283 = "Founder(s) NOT Taxed (in gray below)",(C287-C283)*B294*B295,(C287)*B294*B295)</f>
        <v>189</v>
      </c>
      <c r="D294" s="50">
        <f xml:space="preserve"> IF(A283 = "Founder(s) NOT Taxed (in gray Below)",(D287-D283)*B294*B295,(D287)*B294*B295)</f>
        <v>189</v>
      </c>
      <c r="E294" s="50">
        <f xml:space="preserve"> IF(A283 = "Founder(s) NOT Taxed (in gray Below)",(E287-E283)*B294*B295,(E287)*B294*B295)</f>
        <v>189</v>
      </c>
      <c r="F294" s="50">
        <f xml:space="preserve"> IF(A283 = "Founder(s) NOT Taxed (in gray Below)",(F287-F283)*B294*B295,(F287)*B294*B295)</f>
        <v>189</v>
      </c>
      <c r="G294" s="50">
        <f xml:space="preserve"> IF(A283 = "Founder(s) NOT Taxed (in gray Below)",(G287-G283)*B294*B295,(G287)*B294*B295)</f>
        <v>189</v>
      </c>
      <c r="H294" s="50">
        <f xml:space="preserve"> IF(A283 = "Founder(s) NOT Taxed (in gray Below)",(H287-H283)*B294*B295,(H287)*B294*B295)</f>
        <v>189</v>
      </c>
      <c r="I294" s="50">
        <f xml:space="preserve"> IF(A283 = "Founder(s) NOT Taxed (in gray Below)",(I287-I283)*B294*B295,(I287)*B294*B295)</f>
        <v>189</v>
      </c>
      <c r="J294" s="50">
        <f xml:space="preserve"> IF(A283 = "Founder(s) NOT Taxed (in gray Below)",(J287-J283)*B294*B295,(J287)*B294*B295)</f>
        <v>189</v>
      </c>
      <c r="K294" s="50">
        <f xml:space="preserve"> IF(A283 = "Founder(s) NOT Taxed (in gray Below)",(K287-K283)*B294*B295,(K287)*B294*B295)</f>
        <v>189</v>
      </c>
      <c r="L294" s="50">
        <f xml:space="preserve"> IF(A283 = "Founder(s) NOT Taxed (in gray Below)",(L287-L283)*B294*B295,(L287)*B294*B295)</f>
        <v>189</v>
      </c>
      <c r="M294" s="50">
        <f xml:space="preserve"> IF(A283 = "Founder(s) NOT Taxed (in gray Below)",(M287-M283)*B294*B295,(M287)*B294*B295)</f>
        <v>189</v>
      </c>
      <c r="N294" s="50">
        <f xml:space="preserve"> IF(A283 = "Founder(s) NOT Taxed (in gray Below)",(N287-N283)*B294*B295,(N287)*B294*B295)</f>
        <v>189</v>
      </c>
    </row>
    <row r="295" spans="1:14">
      <c r="A295" s="116" t="s">
        <v>190</v>
      </c>
      <c r="B295" s="4">
        <v>7000</v>
      </c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</row>
    <row r="296" spans="1:14">
      <c r="A296" s="90" t="s">
        <v>191</v>
      </c>
      <c r="B296" s="63"/>
      <c r="C296" s="117"/>
      <c r="D296" s="117"/>
      <c r="E296" s="117"/>
      <c r="F296" s="117"/>
      <c r="G296" s="117"/>
      <c r="H296" s="117"/>
      <c r="I296" s="117"/>
      <c r="J296" s="117"/>
      <c r="K296" s="117"/>
      <c r="L296" s="117"/>
      <c r="M296" s="117"/>
      <c r="N296" s="117"/>
    </row>
    <row r="297" spans="1:14">
      <c r="A297" s="90" t="s">
        <v>192</v>
      </c>
      <c r="B297" s="63"/>
      <c r="C297" s="117"/>
      <c r="D297" s="117"/>
      <c r="E297" s="117"/>
      <c r="F297" s="117"/>
      <c r="G297" s="117"/>
      <c r="H297" s="117"/>
      <c r="I297" s="117"/>
      <c r="J297" s="117"/>
      <c r="K297" s="117"/>
      <c r="L297" s="117"/>
      <c r="M297" s="117"/>
      <c r="N297" s="117"/>
    </row>
    <row r="298" spans="1:14">
      <c r="A298" s="90" t="s">
        <v>193</v>
      </c>
      <c r="B298" s="63"/>
      <c r="C298" s="117"/>
      <c r="D298" s="117"/>
      <c r="E298" s="117"/>
      <c r="F298" s="117"/>
      <c r="G298" s="117"/>
      <c r="H298" s="117"/>
      <c r="I298" s="117"/>
      <c r="J298" s="117"/>
      <c r="K298" s="117"/>
      <c r="L298" s="117"/>
      <c r="M298" s="117"/>
      <c r="N298" s="117"/>
    </row>
    <row r="299" spans="1:14" ht="15" thickBot="1">
      <c r="A299" s="90" t="s">
        <v>194</v>
      </c>
      <c r="B299" s="63"/>
      <c r="C299" s="117"/>
      <c r="D299" s="117"/>
      <c r="E299" s="117"/>
      <c r="F299" s="117"/>
      <c r="G299" s="117"/>
      <c r="H299" s="117"/>
      <c r="I299" s="117"/>
      <c r="J299" s="117"/>
      <c r="K299" s="117"/>
      <c r="L299" s="117"/>
      <c r="M299" s="117"/>
      <c r="N299" s="117"/>
    </row>
    <row r="300" spans="1:14" ht="24" thickBot="1">
      <c r="B300" s="101" t="s">
        <v>58</v>
      </c>
      <c r="C300" s="93">
        <f>SUM(C289:C299)</f>
        <v>321.5</v>
      </c>
      <c r="D300" s="93">
        <f t="shared" ref="D300:N300" si="105">SUM(D289:D299)</f>
        <v>321.5</v>
      </c>
      <c r="E300" s="93">
        <f t="shared" si="105"/>
        <v>321.5</v>
      </c>
      <c r="F300" s="93">
        <f t="shared" si="105"/>
        <v>321.5</v>
      </c>
      <c r="G300" s="93">
        <f t="shared" si="105"/>
        <v>321.5</v>
      </c>
      <c r="H300" s="93">
        <f t="shared" si="105"/>
        <v>321.5</v>
      </c>
      <c r="I300" s="93">
        <f t="shared" si="105"/>
        <v>321.5</v>
      </c>
      <c r="J300" s="93">
        <f t="shared" si="105"/>
        <v>321.5</v>
      </c>
      <c r="K300" s="93">
        <f t="shared" si="105"/>
        <v>321.5</v>
      </c>
      <c r="L300" s="93">
        <f t="shared" si="105"/>
        <v>321.5</v>
      </c>
      <c r="M300" s="93">
        <f t="shared" si="105"/>
        <v>321.5</v>
      </c>
      <c r="N300" s="93">
        <f t="shared" si="105"/>
        <v>321.5</v>
      </c>
    </row>
    <row r="311" spans="3:3">
      <c r="C311" s="42"/>
    </row>
  </sheetData>
  <sheetProtection formatCells="0" formatColumns="0" insertRows="0"/>
  <dataValidations count="6">
    <dataValidation type="whole" allowBlank="1" showInputMessage="1" showErrorMessage="1" promptTitle="Must be between 0-11" prompt="You can add equal monthly installment paymnets.  Use 0 or leave blank if there are no installments.  If you make the number 11 then all the payments will be over a one year period." sqref="B92 B29 B50 B71" xr:uid="{00000000-0002-0000-0200-000000000000}">
      <formula1>0</formula1>
      <formula2>11</formula2>
    </dataValidation>
    <dataValidation type="whole" allowBlank="1" showInputMessage="1" showErrorMessage="1" promptTitle="Must be between 0-11" prompt="If payment if recieved the month the customer is booked, then put 0 or leave blank. If there is a delay between the deposit and delivery you can make the delay up to 11 months, which will mean the deposit and delivery will occur within one year.   " sqref="B91 B70 B49" xr:uid="{00000000-0002-0000-0200-000001000000}">
      <formula1>0</formula1>
      <formula2>11</formula2>
    </dataValidation>
    <dataValidation type="list" allowBlank="1" showInputMessage="1" showErrorMessage="1" sqref="A283" xr:uid="{00000000-0002-0000-0200-000002000000}">
      <formula1>"Founder(s) Are Taxed as Employees, Founder(s) NOT Taxed (in gray below)"</formula1>
    </dataValidation>
    <dataValidation type="whole" allowBlank="1" showInputMessage="1" showErrorMessage="1" promptTitle="Must be between 0-11" prompt="If payment if received the month the customer is booked, then put 0 or leave blank. If there is a delay between the deposit and delivery you can make the delay up to 11 months, which will mean the deposit and delivery will occur within one year.   " sqref="B7" xr:uid="{00000000-0002-0000-0200-000003000000}">
      <formula1>0</formula1>
      <formula2>11</formula2>
    </dataValidation>
    <dataValidation type="whole" allowBlank="1" showInputMessage="1" showErrorMessage="1" promptTitle="Must be between 0-11" prompt="If payment if recieved the month the customer is booked then put 0 or leave blank. If there is a delay between the deposit and delivery you can make the delay up to 11 months, which will mean the deposit and delivery will occur within one year.   " sqref="B28" xr:uid="{00000000-0002-0000-0200-000004000000}">
      <formula1>0</formula1>
      <formula2>11</formula2>
    </dataValidation>
    <dataValidation type="whole" allowBlank="1" showInputMessage="1" showErrorMessage="1" promptTitle="Must be between 0-11" prompt="You can add equal monthly installment payments.  Use 0 or leave blank if there are no installments.  If you make the number 11 then all the payments will be over a one-year period._x000a_" sqref="B8" xr:uid="{00000000-0002-0000-0200-000005000000}">
      <formula1>0</formula1>
      <formula2>11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T22"/>
  <sheetViews>
    <sheetView topLeftCell="G1" zoomScale="96" zoomScaleNormal="96" workbookViewId="0">
      <selection activeCell="N3" sqref="N3"/>
    </sheetView>
  </sheetViews>
  <sheetFormatPr defaultColWidth="9.140625" defaultRowHeight="14.45"/>
  <cols>
    <col min="1" max="1" width="26.7109375" style="124" customWidth="1"/>
    <col min="2" max="2" width="34.7109375" style="2" customWidth="1"/>
    <col min="3" max="3" width="10.5703125" style="125" bestFit="1" customWidth="1"/>
    <col min="4" max="4" width="16.5703125" style="18" customWidth="1"/>
    <col min="5" max="5" width="11.7109375" style="126" customWidth="1"/>
    <col min="6" max="6" width="15.140625" style="18" customWidth="1"/>
    <col min="7" max="7" width="27.28515625" style="124" customWidth="1"/>
    <col min="8" max="8" width="13.85546875" style="124" bestFit="1" customWidth="1"/>
    <col min="9" max="9" width="11.140625" style="129" bestFit="1" customWidth="1"/>
    <col min="10" max="16" width="11.140625" style="18" bestFit="1" customWidth="1"/>
    <col min="17" max="19" width="11.28515625" style="18" bestFit="1" customWidth="1"/>
    <col min="20" max="21" width="11.140625" style="18" bestFit="1" customWidth="1"/>
    <col min="22" max="22" width="11.28515625" style="18" bestFit="1" customWidth="1"/>
    <col min="23" max="33" width="11.140625" style="18" bestFit="1" customWidth="1"/>
    <col min="34" max="34" width="11.28515625" style="18" bestFit="1" customWidth="1"/>
    <col min="35" max="35" width="10.85546875" style="18" bestFit="1" customWidth="1"/>
    <col min="36" max="36" width="11.28515625" style="18" bestFit="1" customWidth="1"/>
    <col min="37" max="44" width="11.140625" style="18" bestFit="1" customWidth="1"/>
    <col min="45" max="45" width="10.42578125" style="2" bestFit="1" customWidth="1"/>
    <col min="46" max="16384" width="9.140625" style="2"/>
  </cols>
  <sheetData>
    <row r="1" spans="1:46">
      <c r="A1" s="130" t="s">
        <v>195</v>
      </c>
      <c r="B1" s="130" t="s">
        <v>169</v>
      </c>
      <c r="C1" s="131" t="s">
        <v>196</v>
      </c>
      <c r="D1" s="132" t="s">
        <v>197</v>
      </c>
      <c r="E1" s="133" t="s">
        <v>198</v>
      </c>
      <c r="F1" s="132" t="s">
        <v>199</v>
      </c>
      <c r="G1" s="134" t="s">
        <v>200</v>
      </c>
      <c r="H1" s="134" t="s">
        <v>201</v>
      </c>
      <c r="I1" s="131">
        <f>DATE('Pro Forma'!C3,'Pro Forma'!C4+0,1)</f>
        <v>44927</v>
      </c>
      <c r="J1" s="131">
        <f>DATE('Pro Forma'!C3+0,'Pro Forma'!C4+1,1)</f>
        <v>44958</v>
      </c>
      <c r="K1" s="131">
        <f>DATE('Pro Forma'!C3+0,'Pro Forma'!C4+2,1)</f>
        <v>44986</v>
      </c>
      <c r="L1" s="131">
        <f>DATE('Pro Forma'!C3+0,'Pro Forma'!C4+3,1)</f>
        <v>45017</v>
      </c>
      <c r="M1" s="131">
        <f>DATE('Pro Forma'!C3+0,'Pro Forma'!C4+4,1)</f>
        <v>45047</v>
      </c>
      <c r="N1" s="131">
        <f>DATE('Pro Forma'!C3+0,'Pro Forma'!C4+5,1)</f>
        <v>45078</v>
      </c>
      <c r="O1" s="131">
        <f>DATE('Pro Forma'!C3+0,'Pro Forma'!C4+6,1)</f>
        <v>45108</v>
      </c>
      <c r="P1" s="131">
        <f>DATE('Pro Forma'!C3+0,'Pro Forma'!C4+7,1)</f>
        <v>45139</v>
      </c>
      <c r="Q1" s="131">
        <f>DATE('Pro Forma'!C3+0,'Pro Forma'!C4+8,1)</f>
        <v>45170</v>
      </c>
      <c r="R1" s="131">
        <f>DATE('Pro Forma'!C3+0,'Pro Forma'!C4+9,1)</f>
        <v>45200</v>
      </c>
      <c r="S1" s="131">
        <f>DATE('Pro Forma'!C3+0,'Pro Forma'!C4+10,1)</f>
        <v>45231</v>
      </c>
      <c r="T1" s="131">
        <f>DATE('Pro Forma'!C3+0,'Pro Forma'!C4+11,1)</f>
        <v>45261</v>
      </c>
      <c r="U1" s="131">
        <f>DATE('Pro Forma'!C3+1,'Pro Forma'!C4,1)</f>
        <v>45292</v>
      </c>
      <c r="V1" s="131">
        <f>DATE('Pro Forma'!C3+1,'Pro Forma'!C4+1,1)</f>
        <v>45323</v>
      </c>
      <c r="W1" s="131">
        <f>DATE('Pro Forma'!C3+1,'Pro Forma'!C4+2,1)</f>
        <v>45352</v>
      </c>
      <c r="X1" s="131">
        <f>DATE('Pro Forma'!C3+1,'Pro Forma'!C4+3,1)</f>
        <v>45383</v>
      </c>
      <c r="Y1" s="131">
        <f>DATE('Pro Forma'!C3+1,'Pro Forma'!C4+4,1)</f>
        <v>45413</v>
      </c>
      <c r="Z1" s="131">
        <f>DATE('Pro Forma'!C3+1,'Pro Forma'!C4+5,1)</f>
        <v>45444</v>
      </c>
      <c r="AA1" s="131">
        <f>DATE('Pro Forma'!C3+1,'Pro Forma'!C4+6,1)</f>
        <v>45474</v>
      </c>
      <c r="AB1" s="131">
        <f>DATE('Pro Forma'!C3+1,'Pro Forma'!C4+7,1)</f>
        <v>45505</v>
      </c>
      <c r="AC1" s="131">
        <f>DATE('Pro Forma'!C3+1,'Pro Forma'!C4+8,1)</f>
        <v>45536</v>
      </c>
      <c r="AD1" s="131">
        <f>DATE('Pro Forma'!C3+1,'Pro Forma'!C4+9,1)</f>
        <v>45566</v>
      </c>
      <c r="AE1" s="131">
        <f>DATE('Pro Forma'!C3+1,'Pro Forma'!C4+10,1)</f>
        <v>45597</v>
      </c>
      <c r="AF1" s="131">
        <f>DATE('Pro Forma'!C3+1,'Pro Forma'!C4+11,1)</f>
        <v>45627</v>
      </c>
      <c r="AG1" s="131">
        <f>DATE('Pro Forma'!C3+2,'Pro Forma'!C4+0,1)</f>
        <v>45658</v>
      </c>
      <c r="AH1" s="131">
        <f>DATE('Pro Forma'!C3+2,'Pro Forma'!C4+1,1)</f>
        <v>45689</v>
      </c>
      <c r="AI1" s="131">
        <f>DATE('Pro Forma'!C3+2,'Pro Forma'!C4+2,1)</f>
        <v>45717</v>
      </c>
      <c r="AJ1" s="131">
        <f>DATE('Pro Forma'!C3+2,'Pro Forma'!C4+3,1)</f>
        <v>45748</v>
      </c>
      <c r="AK1" s="131">
        <f>DATE('Pro Forma'!C3+2,'Pro Forma'!C4+4,1)</f>
        <v>45778</v>
      </c>
      <c r="AL1" s="131">
        <f>DATE('Pro Forma'!C3+2,'Pro Forma'!C4+5,1)</f>
        <v>45809</v>
      </c>
      <c r="AM1" s="131">
        <f>DATE('Pro Forma'!C3+2,'Pro Forma'!C4+6,1)</f>
        <v>45839</v>
      </c>
      <c r="AN1" s="131">
        <f>DATE('Pro Forma'!C3+2,'Pro Forma'!C4+7,1)</f>
        <v>45870</v>
      </c>
      <c r="AO1" s="131">
        <f>DATE('Pro Forma'!C3+2,'Pro Forma'!C4+8,1)</f>
        <v>45901</v>
      </c>
      <c r="AP1" s="131">
        <f>DATE('Pro Forma'!C3+2,'Pro Forma'!C4+9,1)</f>
        <v>45931</v>
      </c>
      <c r="AQ1" s="131">
        <f>DATE('Pro Forma'!C3+2,'Pro Forma'!C4+10,1)</f>
        <v>45962</v>
      </c>
      <c r="AR1" s="131">
        <f>DATE('Pro Forma'!C3+2,'Pro Forma'!C4+11,1)</f>
        <v>45992</v>
      </c>
    </row>
    <row r="2" spans="1:46">
      <c r="A2" s="122" t="s">
        <v>202</v>
      </c>
      <c r="B2" s="61" t="s">
        <v>203</v>
      </c>
      <c r="C2" s="123">
        <v>44927</v>
      </c>
      <c r="D2" s="15">
        <v>40000</v>
      </c>
      <c r="E2" s="57">
        <v>7</v>
      </c>
      <c r="F2" s="15">
        <v>5000</v>
      </c>
      <c r="G2" s="122" t="s">
        <v>204</v>
      </c>
      <c r="H2" s="135">
        <f ca="1">IF(ROUND(D2-F2-SUM(I2:AR2),0)=0,"",ROUND(D2-F2-SUM(I2:AR2),2))</f>
        <v>9577.26</v>
      </c>
      <c r="I2" s="136">
        <f ca="1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>952.38095238095241</v>
      </c>
      <c r="J2" s="136">
        <f t="shared" ref="J2:Y11" ca="1" si="0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>952.38095238095241</v>
      </c>
      <c r="K2" s="136">
        <f t="shared" ca="1" si="0"/>
        <v>952.38095238095241</v>
      </c>
      <c r="L2" s="136">
        <f ca="1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>952.38095238095241</v>
      </c>
      <c r="M2" s="136">
        <f t="shared" ca="1" si="0"/>
        <v>952.38095238095241</v>
      </c>
      <c r="N2" s="136">
        <f t="shared" ca="1" si="0"/>
        <v>952.38095238095241</v>
      </c>
      <c r="O2" s="136">
        <f t="shared" ca="1" si="0"/>
        <v>952.38095238095241</v>
      </c>
      <c r="P2" s="136">
        <f t="shared" ca="1" si="0"/>
        <v>952.38095238095241</v>
      </c>
      <c r="Q2" s="136">
        <f t="shared" ca="1" si="0"/>
        <v>952.38095238095241</v>
      </c>
      <c r="R2" s="136">
        <f t="shared" ca="1" si="0"/>
        <v>952.38095238095241</v>
      </c>
      <c r="S2" s="136">
        <f t="shared" ca="1" si="0"/>
        <v>952.38095238095241</v>
      </c>
      <c r="T2" s="136">
        <f t="shared" ca="1" si="0"/>
        <v>952.38095238095241</v>
      </c>
      <c r="U2" s="136">
        <f t="shared" ca="1" si="0"/>
        <v>680.27210884353747</v>
      </c>
      <c r="V2" s="136">
        <f t="shared" ca="1" si="0"/>
        <v>680.27210884353747</v>
      </c>
      <c r="W2" s="136">
        <f t="shared" ca="1" si="0"/>
        <v>680.27210884353747</v>
      </c>
      <c r="X2" s="136">
        <f t="shared" ca="1" si="0"/>
        <v>680.27210884353747</v>
      </c>
      <c r="Y2" s="136">
        <f t="shared" ca="1" si="0"/>
        <v>680.27210884353747</v>
      </c>
      <c r="Z2" s="136">
        <f t="shared" ref="Z2:AO11" ca="1" si="1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>680.27210884353747</v>
      </c>
      <c r="AA2" s="136">
        <f t="shared" ca="1" si="1"/>
        <v>680.27210884353747</v>
      </c>
      <c r="AB2" s="136">
        <f t="shared" ca="1" si="1"/>
        <v>680.27210884353747</v>
      </c>
      <c r="AC2" s="136">
        <f t="shared" ca="1" si="1"/>
        <v>680.27210884353747</v>
      </c>
      <c r="AD2" s="136">
        <f t="shared" ca="1" si="1"/>
        <v>680.27210884353747</v>
      </c>
      <c r="AE2" s="136">
        <f t="shared" ca="1" si="1"/>
        <v>680.27210884353747</v>
      </c>
      <c r="AF2" s="136">
        <f t="shared" ca="1" si="1"/>
        <v>680.27210884353747</v>
      </c>
      <c r="AG2" s="136">
        <f t="shared" ca="1" si="1"/>
        <v>485.90864917395533</v>
      </c>
      <c r="AH2" s="136">
        <f t="shared" ca="1" si="1"/>
        <v>485.90864917395533</v>
      </c>
      <c r="AI2" s="136">
        <f t="shared" ca="1" si="1"/>
        <v>485.90864917395533</v>
      </c>
      <c r="AJ2" s="136">
        <f t="shared" ca="1" si="1"/>
        <v>485.90864917395533</v>
      </c>
      <c r="AK2" s="136">
        <f t="shared" ca="1" si="1"/>
        <v>485.90864917395533</v>
      </c>
      <c r="AL2" s="136">
        <f t="shared" ca="1" si="1"/>
        <v>485.90864917395533</v>
      </c>
      <c r="AM2" s="136">
        <f t="shared" ca="1" si="1"/>
        <v>485.90864917395533</v>
      </c>
      <c r="AN2" s="136">
        <f t="shared" ca="1" si="1"/>
        <v>485.90864917395533</v>
      </c>
      <c r="AO2" s="136">
        <f t="shared" ca="1" si="1"/>
        <v>485.90864917395533</v>
      </c>
      <c r="AP2" s="136">
        <f t="shared" ref="AP2:AR11" ca="1" si="2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>485.90864917395533</v>
      </c>
      <c r="AQ2" s="136">
        <f t="shared" ca="1" si="2"/>
        <v>485.90864917395533</v>
      </c>
      <c r="AR2" s="136">
        <f t="shared" ca="1" si="2"/>
        <v>485.90864917395533</v>
      </c>
      <c r="AS2" s="18"/>
    </row>
    <row r="3" spans="1:46">
      <c r="A3" s="122" t="s">
        <v>205</v>
      </c>
      <c r="B3" s="122" t="s">
        <v>206</v>
      </c>
      <c r="C3" s="123"/>
      <c r="D3" s="15"/>
      <c r="E3" s="57"/>
      <c r="F3" s="15"/>
      <c r="G3" s="122"/>
      <c r="H3" s="135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 t="str">
        <f t="shared" ca="1" si="0"/>
        <v/>
      </c>
      <c r="W3" s="136" t="str">
        <f t="shared" ca="1" si="0"/>
        <v/>
      </c>
      <c r="X3" s="136" t="str">
        <f t="shared" ca="1" si="0"/>
        <v/>
      </c>
      <c r="Y3" s="136" t="str">
        <f t="shared" ca="1" si="0"/>
        <v/>
      </c>
      <c r="Z3" s="136" t="str">
        <f t="shared" ca="1" si="1"/>
        <v/>
      </c>
      <c r="AA3" s="136" t="str">
        <f t="shared" ca="1" si="1"/>
        <v/>
      </c>
      <c r="AB3" s="136" t="str">
        <f t="shared" ca="1" si="1"/>
        <v/>
      </c>
      <c r="AC3" s="136" t="str">
        <f t="shared" ca="1" si="1"/>
        <v/>
      </c>
      <c r="AD3" s="136" t="str">
        <f t="shared" ca="1" si="1"/>
        <v/>
      </c>
      <c r="AE3" s="136" t="str">
        <f t="shared" ca="1" si="1"/>
        <v/>
      </c>
      <c r="AF3" s="136" t="str">
        <f t="shared" ca="1" si="1"/>
        <v/>
      </c>
      <c r="AG3" s="136" t="str">
        <f t="shared" ca="1" si="1"/>
        <v/>
      </c>
      <c r="AH3" s="136" t="str">
        <f t="shared" ca="1" si="1"/>
        <v/>
      </c>
      <c r="AI3" s="136" t="str">
        <f t="shared" ca="1" si="1"/>
        <v/>
      </c>
      <c r="AJ3" s="136" t="str">
        <f t="shared" ca="1" si="1"/>
        <v/>
      </c>
      <c r="AK3" s="136" t="str">
        <f t="shared" ca="1" si="1"/>
        <v/>
      </c>
      <c r="AL3" s="136" t="str">
        <f t="shared" ca="1" si="1"/>
        <v/>
      </c>
      <c r="AM3" s="136" t="str">
        <f t="shared" ca="1" si="1"/>
        <v/>
      </c>
      <c r="AN3" s="136" t="str">
        <f t="shared" ca="1" si="1"/>
        <v/>
      </c>
      <c r="AO3" s="136" t="str">
        <f t="shared" ca="1" si="1"/>
        <v/>
      </c>
      <c r="AP3" s="136" t="str">
        <f t="shared" ca="1" si="2"/>
        <v/>
      </c>
      <c r="AQ3" s="136" t="str">
        <f t="shared" ca="1" si="2"/>
        <v/>
      </c>
      <c r="AR3" s="136" t="str">
        <f t="shared" ca="1" si="2"/>
        <v/>
      </c>
      <c r="AS3" s="18"/>
      <c r="AT3" s="18"/>
    </row>
    <row r="4" spans="1:46">
      <c r="A4" s="122"/>
      <c r="B4" s="61"/>
      <c r="C4" s="123"/>
      <c r="D4" s="15"/>
      <c r="E4" s="57"/>
      <c r="F4" s="15"/>
      <c r="G4" s="122"/>
      <c r="H4" s="135" t="str">
        <f t="shared" ref="H4:H11" ca="1" si="3">IF(ROUND(D4-F4-SUM(I4:AR4),0)=0,"",ROUND(D4-F4-SUM(I4:AR4),2))</f>
        <v/>
      </c>
      <c r="I4" s="136" t="str">
        <f ca="1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/>
      </c>
      <c r="J4" s="136" t="str">
        <f t="shared" ca="1" si="0"/>
        <v/>
      </c>
      <c r="K4" s="136" t="str">
        <f t="shared" ca="1" si="0"/>
        <v/>
      </c>
      <c r="L4" s="136" t="str">
        <f t="shared" ca="1" si="0"/>
        <v/>
      </c>
      <c r="M4" s="136" t="str">
        <f t="shared" ca="1" si="0"/>
        <v/>
      </c>
      <c r="N4" s="136" t="str">
        <f t="shared" ca="1" si="0"/>
        <v/>
      </c>
      <c r="O4" s="136" t="str">
        <f t="shared" ca="1" si="0"/>
        <v/>
      </c>
      <c r="P4" s="136" t="str">
        <f t="shared" ca="1" si="0"/>
        <v/>
      </c>
      <c r="Q4" s="136" t="str">
        <f t="shared" ca="1" si="0"/>
        <v/>
      </c>
      <c r="R4" s="136" t="str">
        <f t="shared" ca="1" si="0"/>
        <v/>
      </c>
      <c r="S4" s="136" t="str">
        <f t="shared" ca="1" si="0"/>
        <v/>
      </c>
      <c r="T4" s="136" t="str">
        <f t="shared" ca="1" si="0"/>
        <v/>
      </c>
      <c r="U4" s="136" t="str">
        <f t="shared" ca="1" si="0"/>
        <v/>
      </c>
      <c r="V4" s="136" t="str">
        <f t="shared" ca="1" si="0"/>
        <v/>
      </c>
      <c r="W4" s="136" t="str">
        <f t="shared" ca="1" si="0"/>
        <v/>
      </c>
      <c r="X4" s="136" t="str">
        <f t="shared" ca="1" si="0"/>
        <v/>
      </c>
      <c r="Y4" s="136" t="str">
        <f t="shared" ca="1" si="0"/>
        <v/>
      </c>
      <c r="Z4" s="136" t="str">
        <f t="shared" ca="1" si="1"/>
        <v/>
      </c>
      <c r="AA4" s="136" t="str">
        <f t="shared" ca="1" si="1"/>
        <v/>
      </c>
      <c r="AB4" s="136" t="str">
        <f t="shared" ca="1" si="1"/>
        <v/>
      </c>
      <c r="AC4" s="136" t="str">
        <f t="shared" ca="1" si="1"/>
        <v/>
      </c>
      <c r="AD4" s="136" t="str">
        <f t="shared" ca="1" si="1"/>
        <v/>
      </c>
      <c r="AE4" s="136" t="str">
        <f t="shared" ca="1" si="1"/>
        <v/>
      </c>
      <c r="AF4" s="136" t="str">
        <f t="shared" ca="1" si="1"/>
        <v/>
      </c>
      <c r="AG4" s="136" t="str">
        <f t="shared" ca="1" si="1"/>
        <v/>
      </c>
      <c r="AH4" s="136" t="str">
        <f t="shared" ca="1" si="1"/>
        <v/>
      </c>
      <c r="AI4" s="136" t="str">
        <f t="shared" ca="1" si="1"/>
        <v/>
      </c>
      <c r="AJ4" s="136" t="str">
        <f t="shared" ca="1" si="1"/>
        <v/>
      </c>
      <c r="AK4" s="136" t="str">
        <f t="shared" ca="1" si="1"/>
        <v/>
      </c>
      <c r="AL4" s="136" t="str">
        <f t="shared" ca="1" si="1"/>
        <v/>
      </c>
      <c r="AM4" s="136" t="str">
        <f t="shared" ca="1" si="1"/>
        <v/>
      </c>
      <c r="AN4" s="136" t="str">
        <f t="shared" ca="1" si="1"/>
        <v/>
      </c>
      <c r="AO4" s="136" t="str">
        <f t="shared" ca="1" si="1"/>
        <v/>
      </c>
      <c r="AP4" s="136" t="str">
        <f t="shared" ca="1" si="2"/>
        <v/>
      </c>
      <c r="AQ4" s="136" t="str">
        <f t="shared" ca="1" si="2"/>
        <v/>
      </c>
      <c r="AR4" s="136" t="str">
        <f t="shared" ca="1" si="2"/>
        <v/>
      </c>
    </row>
    <row r="5" spans="1:46">
      <c r="A5" s="122"/>
      <c r="B5" s="61"/>
      <c r="C5" s="123"/>
      <c r="D5" s="15"/>
      <c r="E5" s="57"/>
      <c r="F5" s="15"/>
      <c r="G5" s="122"/>
      <c r="H5" s="135" t="str">
        <f t="shared" ca="1" si="3"/>
        <v/>
      </c>
      <c r="I5" s="136" t="str">
        <f t="shared" ref="I3:I11" ca="1" si="4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/>
      </c>
      <c r="J5" s="136" t="str">
        <f t="shared" ca="1" si="0"/>
        <v/>
      </c>
      <c r="K5" s="136" t="str">
        <f t="shared" ca="1" si="0"/>
        <v/>
      </c>
      <c r="L5" s="136" t="str">
        <f t="shared" ca="1" si="0"/>
        <v/>
      </c>
      <c r="M5" s="136" t="str">
        <f t="shared" ca="1" si="0"/>
        <v/>
      </c>
      <c r="N5" s="136" t="str">
        <f t="shared" ca="1" si="0"/>
        <v/>
      </c>
      <c r="O5" s="136" t="str">
        <f t="shared" ca="1" si="0"/>
        <v/>
      </c>
      <c r="P5" s="136" t="str">
        <f t="shared" ca="1" si="0"/>
        <v/>
      </c>
      <c r="Q5" s="136" t="str">
        <f t="shared" ca="1" si="0"/>
        <v/>
      </c>
      <c r="R5" s="136" t="str">
        <f t="shared" ca="1" si="0"/>
        <v/>
      </c>
      <c r="S5" s="136" t="str">
        <f t="shared" ca="1" si="0"/>
        <v/>
      </c>
      <c r="T5" s="136" t="str">
        <f t="shared" ca="1" si="0"/>
        <v/>
      </c>
      <c r="U5" s="136" t="str">
        <f t="shared" ca="1" si="0"/>
        <v/>
      </c>
      <c r="V5" s="136" t="str">
        <f t="shared" ca="1" si="0"/>
        <v/>
      </c>
      <c r="W5" s="136" t="str">
        <f t="shared" ca="1" si="0"/>
        <v/>
      </c>
      <c r="X5" s="136" t="str">
        <f t="shared" ca="1" si="0"/>
        <v/>
      </c>
      <c r="Y5" s="136" t="str">
        <f t="shared" ca="1" si="0"/>
        <v/>
      </c>
      <c r="Z5" s="136" t="str">
        <f t="shared" ca="1" si="1"/>
        <v/>
      </c>
      <c r="AA5" s="136" t="str">
        <f t="shared" ca="1" si="1"/>
        <v/>
      </c>
      <c r="AB5" s="136" t="str">
        <f t="shared" ca="1" si="1"/>
        <v/>
      </c>
      <c r="AC5" s="136" t="str">
        <f t="shared" ca="1" si="1"/>
        <v/>
      </c>
      <c r="AD5" s="136" t="str">
        <f t="shared" ca="1" si="1"/>
        <v/>
      </c>
      <c r="AE5" s="136" t="str">
        <f t="shared" ca="1" si="1"/>
        <v/>
      </c>
      <c r="AF5" s="136" t="str">
        <f t="shared" ca="1" si="1"/>
        <v/>
      </c>
      <c r="AG5" s="136" t="str">
        <f t="shared" ca="1" si="1"/>
        <v/>
      </c>
      <c r="AH5" s="136" t="str">
        <f t="shared" ca="1" si="1"/>
        <v/>
      </c>
      <c r="AI5" s="136" t="str">
        <f t="shared" ca="1" si="1"/>
        <v/>
      </c>
      <c r="AJ5" s="136" t="str">
        <f t="shared" ca="1" si="1"/>
        <v/>
      </c>
      <c r="AK5" s="136" t="str">
        <f t="shared" ca="1" si="1"/>
        <v/>
      </c>
      <c r="AL5" s="136" t="str">
        <f t="shared" ca="1" si="1"/>
        <v/>
      </c>
      <c r="AM5" s="136" t="str">
        <f t="shared" ca="1" si="1"/>
        <v/>
      </c>
      <c r="AN5" s="136" t="str">
        <f t="shared" ca="1" si="1"/>
        <v/>
      </c>
      <c r="AO5" s="136" t="str">
        <f t="shared" ca="1" si="1"/>
        <v/>
      </c>
      <c r="AP5" s="136" t="str">
        <f t="shared" ca="1" si="2"/>
        <v/>
      </c>
      <c r="AQ5" s="136" t="str">
        <f t="shared" ca="1" si="2"/>
        <v/>
      </c>
      <c r="AR5" s="136" t="str">
        <f t="shared" ca="1" si="2"/>
        <v/>
      </c>
    </row>
    <row r="6" spans="1:46">
      <c r="A6" s="122"/>
      <c r="B6" s="61"/>
      <c r="C6" s="123"/>
      <c r="D6" s="15"/>
      <c r="E6" s="57"/>
      <c r="F6" s="15"/>
      <c r="G6" s="122"/>
      <c r="H6" s="135" t="str">
        <f t="shared" ca="1" si="3"/>
        <v/>
      </c>
      <c r="I6" s="136" t="str">
        <f t="shared" ca="1" si="4"/>
        <v/>
      </c>
      <c r="J6" s="136" t="str">
        <f t="shared" ca="1" si="0"/>
        <v/>
      </c>
      <c r="K6" s="136" t="str">
        <f t="shared" ca="1" si="0"/>
        <v/>
      </c>
      <c r="L6" s="136" t="str">
        <f t="shared" ca="1" si="0"/>
        <v/>
      </c>
      <c r="M6" s="136" t="str">
        <f t="shared" ca="1" si="0"/>
        <v/>
      </c>
      <c r="N6" s="136" t="str">
        <f t="shared" ca="1" si="0"/>
        <v/>
      </c>
      <c r="O6" s="136" t="str">
        <f t="shared" ca="1" si="0"/>
        <v/>
      </c>
      <c r="P6" s="136" t="str">
        <f t="shared" ca="1" si="0"/>
        <v/>
      </c>
      <c r="Q6" s="136" t="str">
        <f t="shared" ca="1" si="0"/>
        <v/>
      </c>
      <c r="R6" s="136" t="str">
        <f t="shared" ca="1" si="0"/>
        <v/>
      </c>
      <c r="S6" s="136" t="str">
        <f t="shared" ca="1" si="0"/>
        <v/>
      </c>
      <c r="T6" s="136" t="str">
        <f t="shared" ca="1" si="0"/>
        <v/>
      </c>
      <c r="U6" s="136" t="str">
        <f t="shared" ca="1" si="0"/>
        <v/>
      </c>
      <c r="V6" s="136" t="str">
        <f t="shared" ca="1" si="0"/>
        <v/>
      </c>
      <c r="W6" s="136" t="str">
        <f t="shared" ca="1" si="0"/>
        <v/>
      </c>
      <c r="X6" s="136" t="str">
        <f t="shared" ca="1" si="0"/>
        <v/>
      </c>
      <c r="Y6" s="136" t="str">
        <f t="shared" ca="1" si="0"/>
        <v/>
      </c>
      <c r="Z6" s="136" t="str">
        <f t="shared" ca="1" si="1"/>
        <v/>
      </c>
      <c r="AA6" s="136" t="str">
        <f t="shared" ca="1" si="1"/>
        <v/>
      </c>
      <c r="AB6" s="136" t="str">
        <f t="shared" ca="1" si="1"/>
        <v/>
      </c>
      <c r="AC6" s="136" t="str">
        <f t="shared" ca="1" si="1"/>
        <v/>
      </c>
      <c r="AD6" s="136" t="str">
        <f t="shared" ca="1" si="1"/>
        <v/>
      </c>
      <c r="AE6" s="136" t="str">
        <f t="shared" ca="1" si="1"/>
        <v/>
      </c>
      <c r="AF6" s="136" t="str">
        <f t="shared" ca="1" si="1"/>
        <v/>
      </c>
      <c r="AG6" s="136" t="str">
        <f t="shared" ca="1" si="1"/>
        <v/>
      </c>
      <c r="AH6" s="136" t="str">
        <f t="shared" ca="1" si="1"/>
        <v/>
      </c>
      <c r="AI6" s="136" t="str">
        <f t="shared" ca="1" si="1"/>
        <v/>
      </c>
      <c r="AJ6" s="136" t="str">
        <f t="shared" ca="1" si="1"/>
        <v/>
      </c>
      <c r="AK6" s="136" t="str">
        <f t="shared" ca="1" si="1"/>
        <v/>
      </c>
      <c r="AL6" s="136" t="str">
        <f t="shared" ca="1" si="1"/>
        <v/>
      </c>
      <c r="AM6" s="136" t="str">
        <f t="shared" ca="1" si="1"/>
        <v/>
      </c>
      <c r="AN6" s="136" t="str">
        <f t="shared" ca="1" si="1"/>
        <v/>
      </c>
      <c r="AO6" s="136" t="str">
        <f t="shared" ca="1" si="1"/>
        <v/>
      </c>
      <c r="AP6" s="136" t="str">
        <f t="shared" ca="1" si="2"/>
        <v/>
      </c>
      <c r="AQ6" s="136" t="str">
        <f t="shared" ca="1" si="2"/>
        <v/>
      </c>
      <c r="AR6" s="136" t="str">
        <f t="shared" ca="1" si="2"/>
        <v/>
      </c>
    </row>
    <row r="7" spans="1:46">
      <c r="A7" s="122"/>
      <c r="B7" s="61"/>
      <c r="C7" s="123"/>
      <c r="D7" s="15"/>
      <c r="E7" s="57"/>
      <c r="F7" s="15"/>
      <c r="G7" s="122"/>
      <c r="H7" s="135" t="str">
        <f t="shared" ca="1" si="3"/>
        <v/>
      </c>
      <c r="I7" s="136" t="str">
        <f t="shared" ca="1" si="4"/>
        <v/>
      </c>
      <c r="J7" s="136" t="str">
        <f ca="1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/>
      </c>
      <c r="K7" s="136" t="str">
        <f t="shared" ca="1" si="0"/>
        <v/>
      </c>
      <c r="L7" s="136" t="str">
        <f t="shared" ca="1" si="0"/>
        <v/>
      </c>
      <c r="M7" s="136" t="str">
        <f t="shared" ca="1" si="0"/>
        <v/>
      </c>
      <c r="N7" s="136" t="str">
        <f t="shared" ca="1" si="0"/>
        <v/>
      </c>
      <c r="O7" s="136" t="str">
        <f t="shared" ca="1" si="0"/>
        <v/>
      </c>
      <c r="P7" s="136" t="str">
        <f t="shared" ca="1" si="0"/>
        <v/>
      </c>
      <c r="Q7" s="136" t="str">
        <f t="shared" ca="1" si="0"/>
        <v/>
      </c>
      <c r="R7" s="136" t="str">
        <f t="shared" ca="1" si="0"/>
        <v/>
      </c>
      <c r="S7" s="136" t="str">
        <f t="shared" ca="1" si="0"/>
        <v/>
      </c>
      <c r="T7" s="136" t="str">
        <f t="shared" ca="1" si="0"/>
        <v/>
      </c>
      <c r="U7" s="136" t="str">
        <f t="shared" ca="1" si="0"/>
        <v/>
      </c>
      <c r="V7" s="136" t="str">
        <f t="shared" ca="1" si="0"/>
        <v/>
      </c>
      <c r="W7" s="136" t="str">
        <f t="shared" ca="1" si="0"/>
        <v/>
      </c>
      <c r="X7" s="136" t="str">
        <f t="shared" ca="1" si="0"/>
        <v/>
      </c>
      <c r="Y7" s="136" t="str">
        <f t="shared" ca="1" si="0"/>
        <v/>
      </c>
      <c r="Z7" s="136" t="str">
        <f t="shared" ca="1" si="1"/>
        <v/>
      </c>
      <c r="AA7" s="136" t="str">
        <f t="shared" ca="1" si="1"/>
        <v/>
      </c>
      <c r="AB7" s="136" t="str">
        <f t="shared" ca="1" si="1"/>
        <v/>
      </c>
      <c r="AC7" s="136" t="str">
        <f t="shared" ca="1" si="1"/>
        <v/>
      </c>
      <c r="AD7" s="136" t="str">
        <f t="shared" ca="1" si="1"/>
        <v/>
      </c>
      <c r="AE7" s="136" t="str">
        <f t="shared" ca="1" si="1"/>
        <v/>
      </c>
      <c r="AF7" s="136" t="str">
        <f t="shared" ca="1" si="1"/>
        <v/>
      </c>
      <c r="AG7" s="136" t="str">
        <f t="shared" ca="1" si="1"/>
        <v/>
      </c>
      <c r="AH7" s="136" t="str">
        <f t="shared" ca="1" si="1"/>
        <v/>
      </c>
      <c r="AI7" s="136" t="str">
        <f t="shared" ca="1" si="1"/>
        <v/>
      </c>
      <c r="AJ7" s="136" t="str">
        <f t="shared" ca="1" si="1"/>
        <v/>
      </c>
      <c r="AK7" s="136" t="str">
        <f t="shared" ca="1" si="1"/>
        <v/>
      </c>
      <c r="AL7" s="136" t="str">
        <f t="shared" ca="1" si="1"/>
        <v/>
      </c>
      <c r="AM7" s="136" t="str">
        <f t="shared" ca="1" si="1"/>
        <v/>
      </c>
      <c r="AN7" s="136" t="str">
        <f t="shared" ca="1" si="1"/>
        <v/>
      </c>
      <c r="AO7" s="136" t="str">
        <f t="shared" ca="1" si="1"/>
        <v/>
      </c>
      <c r="AP7" s="136" t="str">
        <f t="shared" ca="1" si="2"/>
        <v/>
      </c>
      <c r="AQ7" s="136" t="str">
        <f t="shared" ca="1" si="2"/>
        <v/>
      </c>
      <c r="AR7" s="136" t="str">
        <f t="shared" ca="1" si="2"/>
        <v/>
      </c>
    </row>
    <row r="8" spans="1:46">
      <c r="A8" s="122"/>
      <c r="B8" s="61"/>
      <c r="C8" s="123"/>
      <c r="D8" s="15"/>
      <c r="E8" s="57"/>
      <c r="F8" s="15"/>
      <c r="G8" s="122"/>
      <c r="H8" s="135" t="str">
        <f t="shared" ca="1" si="3"/>
        <v/>
      </c>
      <c r="I8" s="136" t="str">
        <f t="shared" ca="1" si="4"/>
        <v/>
      </c>
      <c r="J8" s="136" t="str">
        <f t="shared" ca="1" si="0"/>
        <v/>
      </c>
      <c r="K8" s="136" t="str">
        <f t="shared" ca="1" si="0"/>
        <v/>
      </c>
      <c r="L8" s="136" t="str">
        <f t="shared" ca="1" si="0"/>
        <v/>
      </c>
      <c r="M8" s="136" t="str">
        <f t="shared" ca="1" si="0"/>
        <v/>
      </c>
      <c r="N8" s="136" t="str">
        <f t="shared" ca="1" si="0"/>
        <v/>
      </c>
      <c r="O8" s="136" t="str">
        <f t="shared" ca="1" si="0"/>
        <v/>
      </c>
      <c r="P8" s="136" t="str">
        <f t="shared" ca="1" si="0"/>
        <v/>
      </c>
      <c r="Q8" s="136" t="str">
        <f t="shared" ca="1" si="0"/>
        <v/>
      </c>
      <c r="R8" s="136" t="str">
        <f t="shared" ca="1" si="0"/>
        <v/>
      </c>
      <c r="S8" s="136" t="str">
        <f t="shared" ca="1" si="0"/>
        <v/>
      </c>
      <c r="T8" s="136" t="str">
        <f t="shared" ca="1" si="0"/>
        <v/>
      </c>
      <c r="U8" s="136" t="str">
        <f t="shared" ca="1" si="0"/>
        <v/>
      </c>
      <c r="V8" s="136" t="str">
        <f t="shared" ca="1" si="0"/>
        <v/>
      </c>
      <c r="W8" s="136" t="str">
        <f t="shared" ca="1" si="0"/>
        <v/>
      </c>
      <c r="X8" s="136" t="str">
        <f t="shared" ca="1" si="0"/>
        <v/>
      </c>
      <c r="Y8" s="136" t="str">
        <f t="shared" ca="1" si="0"/>
        <v/>
      </c>
      <c r="Z8" s="136" t="str">
        <f t="shared" ca="1" si="1"/>
        <v/>
      </c>
      <c r="AA8" s="136" t="str">
        <f t="shared" ca="1" si="1"/>
        <v/>
      </c>
      <c r="AB8" s="136" t="str">
        <f t="shared" ca="1" si="1"/>
        <v/>
      </c>
      <c r="AC8" s="136" t="str">
        <f t="shared" ca="1" si="1"/>
        <v/>
      </c>
      <c r="AD8" s="136" t="str">
        <f t="shared" ca="1" si="1"/>
        <v/>
      </c>
      <c r="AE8" s="136" t="str">
        <f t="shared" ca="1" si="1"/>
        <v/>
      </c>
      <c r="AF8" s="136" t="str">
        <f t="shared" ca="1" si="1"/>
        <v/>
      </c>
      <c r="AG8" s="136" t="str">
        <f t="shared" ca="1" si="1"/>
        <v/>
      </c>
      <c r="AH8" s="136" t="str">
        <f t="shared" ca="1" si="1"/>
        <v/>
      </c>
      <c r="AI8" s="136" t="str">
        <f t="shared" ca="1" si="1"/>
        <v/>
      </c>
      <c r="AJ8" s="136" t="str">
        <f t="shared" ca="1" si="1"/>
        <v/>
      </c>
      <c r="AK8" s="136" t="str">
        <f t="shared" ca="1" si="1"/>
        <v/>
      </c>
      <c r="AL8" s="136" t="str">
        <f t="shared" ca="1" si="1"/>
        <v/>
      </c>
      <c r="AM8" s="136" t="str">
        <f t="shared" ca="1" si="1"/>
        <v/>
      </c>
      <c r="AN8" s="136" t="str">
        <f t="shared" ca="1" si="1"/>
        <v/>
      </c>
      <c r="AO8" s="136" t="str">
        <f t="shared" ca="1" si="1"/>
        <v/>
      </c>
      <c r="AP8" s="136" t="str">
        <f t="shared" ca="1" si="2"/>
        <v/>
      </c>
      <c r="AQ8" s="136" t="str">
        <f t="shared" ca="1" si="2"/>
        <v/>
      </c>
      <c r="AR8" s="136" t="str">
        <f t="shared" ca="1" si="2"/>
        <v/>
      </c>
    </row>
    <row r="9" spans="1:46">
      <c r="A9" s="122"/>
      <c r="B9" s="61"/>
      <c r="C9" s="123"/>
      <c r="D9" s="15"/>
      <c r="E9" s="57"/>
      <c r="F9" s="15"/>
      <c r="G9" s="122"/>
      <c r="H9" s="135" t="str">
        <f t="shared" ca="1" si="3"/>
        <v/>
      </c>
      <c r="I9" s="136" t="str">
        <f t="shared" ca="1" si="4"/>
        <v/>
      </c>
      <c r="J9" s="136" t="str">
        <f t="shared" ca="1" si="0"/>
        <v/>
      </c>
      <c r="K9" s="136" t="str">
        <f t="shared" ca="1" si="0"/>
        <v/>
      </c>
      <c r="L9" s="136" t="str">
        <f t="shared" ca="1" si="0"/>
        <v/>
      </c>
      <c r="M9" s="136" t="str">
        <f t="shared" ca="1" si="0"/>
        <v/>
      </c>
      <c r="N9" s="136" t="str">
        <f t="shared" ca="1" si="0"/>
        <v/>
      </c>
      <c r="O9" s="136" t="str">
        <f t="shared" ca="1" si="0"/>
        <v/>
      </c>
      <c r="P9" s="136" t="str">
        <f t="shared" ca="1" si="0"/>
        <v/>
      </c>
      <c r="Q9" s="136" t="str">
        <f t="shared" ca="1" si="0"/>
        <v/>
      </c>
      <c r="R9" s="136" t="str">
        <f t="shared" ca="1" si="0"/>
        <v/>
      </c>
      <c r="S9" s="136" t="str">
        <f t="shared" ca="1" si="0"/>
        <v/>
      </c>
      <c r="T9" s="136" t="str">
        <f t="shared" ca="1" si="0"/>
        <v/>
      </c>
      <c r="U9" s="136" t="str">
        <f t="shared" ca="1" si="0"/>
        <v/>
      </c>
      <c r="V9" s="136" t="str">
        <f t="shared" ca="1" si="0"/>
        <v/>
      </c>
      <c r="W9" s="136" t="str">
        <f t="shared" ca="1" si="0"/>
        <v/>
      </c>
      <c r="X9" s="136" t="str">
        <f t="shared" ca="1" si="0"/>
        <v/>
      </c>
      <c r="Y9" s="136" t="str">
        <f t="shared" ca="1" si="0"/>
        <v/>
      </c>
      <c r="Z9" s="136" t="str">
        <f t="shared" ca="1" si="1"/>
        <v/>
      </c>
      <c r="AA9" s="136" t="str">
        <f t="shared" ca="1" si="1"/>
        <v/>
      </c>
      <c r="AB9" s="136" t="str">
        <f t="shared" ca="1" si="1"/>
        <v/>
      </c>
      <c r="AC9" s="136" t="str">
        <f t="shared" ca="1" si="1"/>
        <v/>
      </c>
      <c r="AD9" s="136" t="str">
        <f t="shared" ca="1" si="1"/>
        <v/>
      </c>
      <c r="AE9" s="136" t="str">
        <f t="shared" ca="1" si="1"/>
        <v/>
      </c>
      <c r="AF9" s="136" t="str">
        <f t="shared" ca="1" si="1"/>
        <v/>
      </c>
      <c r="AG9" s="136" t="str">
        <f t="shared" ca="1" si="1"/>
        <v/>
      </c>
      <c r="AH9" s="136" t="str">
        <f t="shared" ca="1" si="1"/>
        <v/>
      </c>
      <c r="AI9" s="136" t="str">
        <f t="shared" ca="1" si="1"/>
        <v/>
      </c>
      <c r="AJ9" s="136" t="str">
        <f t="shared" ca="1" si="1"/>
        <v/>
      </c>
      <c r="AK9" s="136" t="str">
        <f t="shared" ca="1" si="1"/>
        <v/>
      </c>
      <c r="AL9" s="136" t="str">
        <f t="shared" ca="1" si="1"/>
        <v/>
      </c>
      <c r="AM9" s="136" t="str">
        <f t="shared" ca="1" si="1"/>
        <v/>
      </c>
      <c r="AN9" s="136" t="str">
        <f t="shared" ca="1" si="1"/>
        <v/>
      </c>
      <c r="AO9" s="136" t="str">
        <f t="shared" ca="1" si="1"/>
        <v/>
      </c>
      <c r="AP9" s="136" t="str">
        <f t="shared" ca="1" si="2"/>
        <v/>
      </c>
      <c r="AQ9" s="136" t="str">
        <f t="shared" ca="1" si="2"/>
        <v/>
      </c>
      <c r="AR9" s="136" t="str">
        <f t="shared" ca="1" si="2"/>
        <v/>
      </c>
    </row>
    <row r="10" spans="1:46">
      <c r="A10" s="122"/>
      <c r="B10" s="61"/>
      <c r="C10" s="123"/>
      <c r="D10" s="15"/>
      <c r="E10" s="57"/>
      <c r="F10" s="15"/>
      <c r="G10" s="122"/>
      <c r="H10" s="135" t="str">
        <f t="shared" ca="1" si="3"/>
        <v/>
      </c>
      <c r="I10" s="136" t="str">
        <f t="shared" ca="1" si="4"/>
        <v/>
      </c>
      <c r="J10" s="136" t="str">
        <f t="shared" ca="1" si="0"/>
        <v/>
      </c>
      <c r="K10" s="136" t="str">
        <f t="shared" ca="1" si="0"/>
        <v/>
      </c>
      <c r="L10" s="136" t="str">
        <f t="shared" ca="1" si="0"/>
        <v/>
      </c>
      <c r="M10" s="136" t="str">
        <f t="shared" ca="1" si="0"/>
        <v/>
      </c>
      <c r="N10" s="136" t="str">
        <f t="shared" ca="1" si="0"/>
        <v/>
      </c>
      <c r="O10" s="136" t="str">
        <f t="shared" ca="1" si="0"/>
        <v/>
      </c>
      <c r="P10" s="136" t="str">
        <f t="shared" ca="1" si="0"/>
        <v/>
      </c>
      <c r="Q10" s="136" t="str">
        <f t="shared" ca="1" si="0"/>
        <v/>
      </c>
      <c r="R10" s="136" t="str">
        <f t="shared" ca="1" si="0"/>
        <v/>
      </c>
      <c r="S10" s="136" t="str">
        <f t="shared" ca="1" si="0"/>
        <v/>
      </c>
      <c r="T10" s="136" t="str">
        <f t="shared" ca="1" si="0"/>
        <v/>
      </c>
      <c r="U10" s="136" t="str">
        <f t="shared" ca="1" si="0"/>
        <v/>
      </c>
      <c r="V10" s="136" t="str">
        <f t="shared" ca="1" si="0"/>
        <v/>
      </c>
      <c r="W10" s="136" t="str">
        <f t="shared" ca="1" si="0"/>
        <v/>
      </c>
      <c r="X10" s="136" t="str">
        <f t="shared" ca="1" si="0"/>
        <v/>
      </c>
      <c r="Y10" s="136" t="str">
        <f t="shared" ca="1" si="0"/>
        <v/>
      </c>
      <c r="Z10" s="136" t="str">
        <f t="shared" ca="1" si="1"/>
        <v/>
      </c>
      <c r="AA10" s="136" t="str">
        <f t="shared" ca="1" si="1"/>
        <v/>
      </c>
      <c r="AB10" s="136" t="str">
        <f t="shared" ca="1" si="1"/>
        <v/>
      </c>
      <c r="AC10" s="136" t="str">
        <f t="shared" ca="1" si="1"/>
        <v/>
      </c>
      <c r="AD10" s="136" t="str">
        <f t="shared" ca="1" si="1"/>
        <v/>
      </c>
      <c r="AE10" s="136" t="str">
        <f t="shared" ca="1" si="1"/>
        <v/>
      </c>
      <c r="AF10" s="136" t="str">
        <f t="shared" ca="1" si="1"/>
        <v/>
      </c>
      <c r="AG10" s="136" t="str">
        <f t="shared" ca="1" si="1"/>
        <v/>
      </c>
      <c r="AH10" s="136" t="str">
        <f t="shared" ca="1" si="1"/>
        <v/>
      </c>
      <c r="AI10" s="136" t="str">
        <f t="shared" ca="1" si="1"/>
        <v/>
      </c>
      <c r="AJ10" s="136" t="str">
        <f t="shared" ca="1" si="1"/>
        <v/>
      </c>
      <c r="AK10" s="136" t="str">
        <f t="shared" ca="1" si="1"/>
        <v/>
      </c>
      <c r="AL10" s="136" t="str">
        <f t="shared" ca="1" si="1"/>
        <v/>
      </c>
      <c r="AM10" s="136" t="str">
        <f t="shared" ca="1" si="1"/>
        <v/>
      </c>
      <c r="AN10" s="136" t="str">
        <f t="shared" ca="1" si="1"/>
        <v/>
      </c>
      <c r="AO10" s="136" t="str">
        <f t="shared" ca="1" si="1"/>
        <v/>
      </c>
      <c r="AP10" s="136" t="str">
        <f t="shared" ca="1" si="2"/>
        <v/>
      </c>
      <c r="AQ10" s="136" t="str">
        <f t="shared" ca="1" si="2"/>
        <v/>
      </c>
      <c r="AR10" s="136" t="str">
        <f t="shared" ca="1" si="2"/>
        <v/>
      </c>
    </row>
    <row r="11" spans="1:46">
      <c r="A11" s="122"/>
      <c r="B11" s="61"/>
      <c r="C11" s="123"/>
      <c r="D11" s="15"/>
      <c r="E11" s="57"/>
      <c r="F11" s="15"/>
      <c r="G11" s="122"/>
      <c r="H11" s="135" t="str">
        <f t="shared" ca="1" si="3"/>
        <v/>
      </c>
      <c r="I11" s="136" t="str">
        <f ca="1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/>
      </c>
      <c r="J11" s="136" t="str">
        <f ca="1">IF( AND( INDIRECT(ADDRESS(ROW(),3)) &gt;0, INDIRECT(ADDRESS(ROW(),4)) &gt;0, INDIRECT(ADDRESS(ROW(),5)) &gt;0, INDIRECT(ADDRESS(ROW(),7)) &gt;0), IF( AND( INDIRECT(ADDRESS(1,COLUMN()))&gt;=INDIRECT(ADDRESS(ROW(),3)), INDIRECT(ADDRESS(1,COLUMN()))&lt; EDATE(INDIRECT(ADDRESS(ROW(),3)),12* INDIRECT(ADDRESS(ROW(),5))) ), IF( INDIRECT(ADDRESS(ROW(),7)) ="Straight-Line", (INDIRECT(ADDRESS(ROW(),4)) - INDIRECT(ADDRESS(ROW(),6)) )/(12* INDIRECT(ADDRESS(ROW(),5)) ), IF( INDIRECT(ADDRESS(ROW(),7)) ="Sum of the Months", (INDIRECT(ADDRESS(ROW(),4)) - INDIRECT(ADDRESS(ROW(),6)) )*( INDIRECT(ADDRESS(ROW(),5)) *12- ROUNDUP( YEARFRAC(INDIRECT(ADDRESS(ROW(),3)), INDIRECT(ADDRESS(1,COLUMN())))*12,0))*2/(12* INDIRECT(ADDRESS(ROW(),5))*(12* INDIRECT(ADDRESS(ROW(),5)) +1)), CHOOSE( 1+ROUNDDOWN(YEARFRAC(INDIRECT(ADDRESS(ROW(),3)),INDIRECT(ADDRESS(1,COLUMN()))),0),MIN(INDIRECT(ADDRESS(ROW(),4))/ INDIRECT(ADDRESS(ROW(),5))*2, (INDIRECT(ADDRESS(ROW(),4))- INDIRECT(ADDRESS(ROW(),6))))/12,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INDIRECT(ADDRESS(ROW(),6)))))-INDIRECT(ADDRESS(ROW(),6)))/12,MIN((INDIRECT(ADDRESS(ROW(),4)) -MIN(INDIRECT(ADDRESS(ROW(),4))/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INDIRECT(ADDRESS(ROW(),6)))))-INDIRECT(ADDRESS(ROW(),6))))/INDIRECT(ADDRESS(ROW(),5))*2, (INDIRECT(ADDRESS(ROW(),4)) - MIN(INDIRECT(ADDRESS(ROW(),4))/ INDIRECT(ADDRESS(ROW(),5))*2, (INDIRECT(ADDRESS(ROW(),4))- INDIRECT(ADDRESS(ROW(),6))))- MIN((INDIRECT(ADDRESS(ROW(),4)) -MIN(INDIRECT(ADDRESS(ROW(),4))/ INDIRECT(ADDRESS(ROW(),5))*2, (INDIRECT(ADDRESS(ROW(),4))- INDIRECT(ADDRESS(ROW(),6)))))/INDIRECT(ADDRESS(ROW(),5))*2, (INDIRECT(ADDRESS(ROW(),4)) - MIN(INDIRECT(ADDRESS(ROW(),4))/ INDIRECT(ADDRESS(ROW(),5))*2, (INDIRECT(ADDRESS(ROW(),4))- INDIRECT(ADDRESS(ROW(),6)))))-INDIRECT(ADDRESS(ROW(),6)))-INDIRECT(ADDRESS(ROW(),6))))/12) )),0), "")</f>
        <v/>
      </c>
      <c r="K11" s="136" t="str">
        <f t="shared" ca="1" si="0"/>
        <v/>
      </c>
      <c r="L11" s="136" t="str">
        <f t="shared" ca="1" si="0"/>
        <v/>
      </c>
      <c r="M11" s="136" t="str">
        <f t="shared" ca="1" si="0"/>
        <v/>
      </c>
      <c r="N11" s="136" t="str">
        <f t="shared" ca="1" si="0"/>
        <v/>
      </c>
      <c r="O11" s="136" t="str">
        <f t="shared" ca="1" si="0"/>
        <v/>
      </c>
      <c r="P11" s="136" t="str">
        <f t="shared" ca="1" si="0"/>
        <v/>
      </c>
      <c r="Q11" s="136" t="str">
        <f t="shared" ca="1" si="0"/>
        <v/>
      </c>
      <c r="R11" s="136" t="str">
        <f t="shared" ca="1" si="0"/>
        <v/>
      </c>
      <c r="S11" s="136" t="str">
        <f t="shared" ca="1" si="0"/>
        <v/>
      </c>
      <c r="T11" s="136" t="str">
        <f t="shared" ca="1" si="0"/>
        <v/>
      </c>
      <c r="U11" s="136" t="str">
        <f t="shared" ca="1" si="0"/>
        <v/>
      </c>
      <c r="V11" s="136" t="str">
        <f t="shared" ca="1" si="0"/>
        <v/>
      </c>
      <c r="W11" s="136" t="str">
        <f t="shared" ca="1" si="0"/>
        <v/>
      </c>
      <c r="X11" s="136" t="str">
        <f t="shared" ca="1" si="0"/>
        <v/>
      </c>
      <c r="Y11" s="136" t="str">
        <f t="shared" ca="1" si="0"/>
        <v/>
      </c>
      <c r="Z11" s="136" t="str">
        <f t="shared" ca="1" si="1"/>
        <v/>
      </c>
      <c r="AA11" s="136" t="str">
        <f t="shared" ca="1" si="1"/>
        <v/>
      </c>
      <c r="AB11" s="136" t="str">
        <f t="shared" ca="1" si="1"/>
        <v/>
      </c>
      <c r="AC11" s="136" t="str">
        <f t="shared" ca="1" si="1"/>
        <v/>
      </c>
      <c r="AD11" s="136" t="str">
        <f t="shared" ca="1" si="1"/>
        <v/>
      </c>
      <c r="AE11" s="136" t="str">
        <f t="shared" ca="1" si="1"/>
        <v/>
      </c>
      <c r="AF11" s="136" t="str">
        <f t="shared" ca="1" si="1"/>
        <v/>
      </c>
      <c r="AG11" s="136" t="str">
        <f t="shared" ca="1" si="1"/>
        <v/>
      </c>
      <c r="AH11" s="136" t="str">
        <f t="shared" ca="1" si="1"/>
        <v/>
      </c>
      <c r="AI11" s="136" t="str">
        <f t="shared" ca="1" si="1"/>
        <v/>
      </c>
      <c r="AJ11" s="136" t="str">
        <f t="shared" ca="1" si="1"/>
        <v/>
      </c>
      <c r="AK11" s="136" t="str">
        <f t="shared" ca="1" si="1"/>
        <v/>
      </c>
      <c r="AL11" s="136" t="str">
        <f t="shared" ca="1" si="1"/>
        <v/>
      </c>
      <c r="AM11" s="136" t="str">
        <f t="shared" ca="1" si="1"/>
        <v/>
      </c>
      <c r="AN11" s="136" t="str">
        <f t="shared" ca="1" si="1"/>
        <v/>
      </c>
      <c r="AO11" s="136" t="str">
        <f t="shared" ca="1" si="1"/>
        <v/>
      </c>
      <c r="AP11" s="136" t="str">
        <f t="shared" ca="1" si="2"/>
        <v/>
      </c>
      <c r="AQ11" s="136" t="str">
        <f t="shared" ca="1" si="2"/>
        <v/>
      </c>
      <c r="AR11" s="136" t="str">
        <f t="shared" ca="1" si="2"/>
        <v/>
      </c>
    </row>
    <row r="12" spans="1:46"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  <c r="AK12" s="127"/>
      <c r="AL12" s="127"/>
      <c r="AM12" s="127"/>
      <c r="AN12" s="127"/>
      <c r="AO12" s="127"/>
      <c r="AP12" s="127"/>
      <c r="AQ12" s="127"/>
      <c r="AR12" s="127"/>
    </row>
    <row r="13" spans="1:46">
      <c r="A13" s="161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  <c r="AK13" s="127"/>
      <c r="AL13" s="127"/>
      <c r="AM13" s="127"/>
      <c r="AN13" s="127"/>
      <c r="AO13" s="127"/>
      <c r="AP13" s="127"/>
      <c r="AQ13" s="127"/>
      <c r="AR13" s="127"/>
    </row>
    <row r="14" spans="1:46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/>
      <c r="AL14" s="127"/>
      <c r="AM14" s="127"/>
      <c r="AN14" s="127"/>
      <c r="AO14" s="127"/>
      <c r="AP14" s="127"/>
      <c r="AQ14" s="127"/>
      <c r="AR14" s="127"/>
    </row>
    <row r="15" spans="1:46">
      <c r="A15" s="161"/>
      <c r="B15" s="127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</row>
    <row r="16" spans="1:46">
      <c r="A16" s="127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</row>
    <row r="17" spans="1:44">
      <c r="A17" s="127"/>
      <c r="B17" s="127"/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27"/>
      <c r="AO17" s="127"/>
      <c r="AP17" s="127"/>
      <c r="AQ17" s="127"/>
      <c r="AR17" s="127"/>
    </row>
    <row r="18" spans="1:44">
      <c r="A18" s="127"/>
      <c r="B18" s="127"/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  <c r="AK18" s="127"/>
      <c r="AL18" s="127"/>
      <c r="AM18" s="127"/>
      <c r="AN18" s="127"/>
      <c r="AO18" s="127"/>
      <c r="AP18" s="127"/>
      <c r="AQ18" s="127"/>
      <c r="AR18" s="127"/>
    </row>
    <row r="19" spans="1:44">
      <c r="A19" s="127"/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27"/>
      <c r="AO19" s="127"/>
      <c r="AP19" s="127"/>
      <c r="AQ19" s="127"/>
      <c r="AR19" s="127"/>
    </row>
    <row r="20" spans="1:44">
      <c r="A20" s="127"/>
      <c r="B20" s="127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/>
      <c r="AH20" s="127"/>
      <c r="AI20" s="127"/>
      <c r="AJ20" s="127"/>
      <c r="AK20" s="127"/>
      <c r="AL20" s="127"/>
      <c r="AM20" s="127"/>
      <c r="AN20" s="127"/>
      <c r="AO20" s="127"/>
      <c r="AP20" s="127"/>
      <c r="AQ20" s="127"/>
      <c r="AR20" s="127"/>
    </row>
    <row r="22" spans="1:44"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</row>
  </sheetData>
  <sheetProtection formatCells="0" formatColumns="0" insertRows="0"/>
  <dataValidations xWindow="875" yWindow="304" count="8">
    <dataValidation type="list" allowBlank="1" showInputMessage="1" showErrorMessage="1" sqref="C2:C11" xr:uid="{00000000-0002-0000-0300-000000000000}">
      <formula1>$I$1:$AR$1</formula1>
    </dataValidation>
    <dataValidation allowBlank="1" showInputMessage="1" showErrorMessage="1" promptTitle="Value When Placed in Service" sqref="D1:D1048576 F1:F1048576 H1:H1048576" xr:uid="{00000000-0002-0000-0300-000001000000}"/>
    <dataValidation type="list" allowBlank="1" showInputMessage="1" showErrorMessage="1" promptTitle="Three tpes of Depreciation" prompt="1. Straight-Line - Equal increments entire time._x000a_2.Sum of the Months - Downward ramp (for asssets that slow down as they age)_x000a_3. Double Declining Balance - You double up on the Straight-Line and finish in half the time (things that depreciate quickly). _x000a__x000a_" sqref="G1 G12:G1048576" xr:uid="{00000000-0002-0000-0300-000002000000}">
      <formula1>"Straight-Line,Sum of the Months,Double Declining Balance"</formula1>
    </dataValidation>
    <dataValidation type="whole" operator="greaterThan" allowBlank="1" showInputMessage="1" showErrorMessage="1" promptTitle="How many years depends on type" prompt="Typical choices:_x000a_???? - Real Estate-Land (might  go up)_x000a_20 Yrs - Buildings  _x000a_7 yrs - Leasehold Improvements - _x000a_7 yrs -  Vehicles _x000a_5 yrs - Furniture and Fixtures_x000a_5 yrs - Equipment_x000a_5 yrs - Other Fixed Assets_x000a_" sqref="E1:E1048576" xr:uid="{00000000-0002-0000-0300-000003000000}">
      <formula1>1</formula1>
    </dataValidation>
    <dataValidation type="list" allowBlank="1" showInputMessage="1" showErrorMessage="1" promptTitle="When to use &quot;Owned&quot;" prompt="Only used owned if it was purchased prior to the start of the Pro Forma start date and you want to exclude it as a new expense.  _x000a__x000a_Alternatively, you can record an offsetting capital contribution to show that it was put into service for company._x000a_" sqref="A2:A11" xr:uid="{00000000-0002-0000-0300-000004000000}">
      <formula1>"Real Estate-Land,Buildings,Vehicles,Equipment,Other Fixed Assets,(Owned) Real Estate-Land, (Owned) Buildings, (Owned) Vehicles, (Owned) Equipment, (Owned) Other Fixed Assets"</formula1>
    </dataValidation>
    <dataValidation type="list" allowBlank="1" showInputMessage="1" showErrorMessage="1" promptTitle="Three yppes of Depreciation" prompt="1. Straight-Line - Equal increments entire time._x000a_2. Sum of the Months - Downward ramp (for assets that slow down as they age)_x000a_3. Double Declining Balance - You double up on the Straight-Line and finish in half the time (things that depreciate quickly). _x000a__x000a_" sqref="G2" xr:uid="{00000000-0002-0000-0300-000006000000}">
      <formula1>"Straight-Line,Sum of the Months,Double Declining Balance"</formula1>
    </dataValidation>
    <dataValidation type="list" allowBlank="1" showInputMessage="1" showErrorMessage="1" promptTitle="Three types of Depreciation" prompt="1. Straight-Line - Equal increments entire time._x000a_2. Sum of the Months - Downward ramp (for assets that slow down as they age)_x000a_3. Double Declining Balance - You double up on the Straight-Line and finish in half the time (things that depreciate quickly). _x000a__x000a_" sqref="G7:G8 G10 G3:G5" xr:uid="{00000000-0002-0000-0300-000007000000}">
      <formula1>"Straight-Line,Sum of the Months,Double Declining Balance"</formula1>
    </dataValidation>
    <dataValidation type="list" allowBlank="1" showInputMessage="1" showErrorMessage="1" promptTitle="Three types of Depreciation" prompt="1. Straight-Line - Equal increments entire time._x000a_2. Sum of the Months - Downward ramp (for assets that slow down as they age)_x000a_3. Double Declining Balance - You double up on the Straight-Line and finish in half the time (things that depreciate quickly). _x000a_" sqref="G6 G9 G11" xr:uid="{00000000-0002-0000-0300-00000A000000}">
      <formula1>"Straight-Line,Sum of the Months,Double Declining Balance"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V304"/>
  <sheetViews>
    <sheetView zoomScale="60" zoomScaleNormal="60" workbookViewId="0">
      <selection activeCell="B165" sqref="B165"/>
    </sheetView>
  </sheetViews>
  <sheetFormatPr defaultColWidth="9.140625" defaultRowHeight="14.45"/>
  <cols>
    <col min="1" max="1" width="37.28515625" style="2" customWidth="1"/>
    <col min="2" max="2" width="26" style="2" customWidth="1"/>
    <col min="3" max="3" width="17.85546875" style="2" bestFit="1" customWidth="1"/>
    <col min="4" max="4" width="18.140625" style="2" bestFit="1" customWidth="1"/>
    <col min="5" max="11" width="17" style="2" bestFit="1" customWidth="1"/>
    <col min="12" max="12" width="15.7109375" style="2" customWidth="1"/>
    <col min="13" max="13" width="16.7109375" style="2" bestFit="1" customWidth="1"/>
    <col min="14" max="14" width="15.5703125" style="2" bestFit="1" customWidth="1"/>
    <col min="15" max="15" width="14" style="2" bestFit="1" customWidth="1"/>
    <col min="16" max="16" width="14.42578125" style="2" bestFit="1" customWidth="1"/>
    <col min="17" max="23" width="15.5703125" style="2" bestFit="1" customWidth="1"/>
    <col min="24" max="24" width="17" style="2" bestFit="1" customWidth="1"/>
    <col min="25" max="25" width="16.7109375" style="2" bestFit="1" customWidth="1"/>
    <col min="26" max="33" width="17" style="2" bestFit="1" customWidth="1"/>
    <col min="34" max="34" width="17.28515625" style="2" bestFit="1" customWidth="1"/>
    <col min="35" max="35" width="17" style="2" bestFit="1" customWidth="1"/>
    <col min="36" max="36" width="17.28515625" style="2" bestFit="1" customWidth="1"/>
    <col min="37" max="37" width="16.5703125" style="2" bestFit="1" customWidth="1"/>
    <col min="38" max="38" width="16.28515625" style="2" customWidth="1"/>
    <col min="39" max="39" width="16.5703125" style="2" bestFit="1" customWidth="1"/>
    <col min="40" max="47" width="9.140625" style="2"/>
    <col min="48" max="48" width="13" style="2" customWidth="1"/>
    <col min="49" max="16384" width="9.140625" style="2"/>
  </cols>
  <sheetData>
    <row r="1" spans="1:48" ht="33.6">
      <c r="A1" s="83" t="s">
        <v>207</v>
      </c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</row>
    <row r="2" spans="1:48" ht="15" thickBot="1">
      <c r="C2" s="85">
        <f>C7</f>
        <v>45292</v>
      </c>
      <c r="D2" s="85">
        <f t="shared" ref="D2:N2" si="0">D7</f>
        <v>45323</v>
      </c>
      <c r="E2" s="85">
        <f t="shared" si="0"/>
        <v>45352</v>
      </c>
      <c r="F2" s="85">
        <f t="shared" si="0"/>
        <v>45383</v>
      </c>
      <c r="G2" s="85">
        <f t="shared" si="0"/>
        <v>45413</v>
      </c>
      <c r="H2" s="85">
        <f t="shared" si="0"/>
        <v>45444</v>
      </c>
      <c r="I2" s="85">
        <f t="shared" si="0"/>
        <v>45474</v>
      </c>
      <c r="J2" s="85">
        <f t="shared" si="0"/>
        <v>45505</v>
      </c>
      <c r="K2" s="85">
        <f t="shared" si="0"/>
        <v>45536</v>
      </c>
      <c r="L2" s="85">
        <f t="shared" si="0"/>
        <v>45566</v>
      </c>
      <c r="M2" s="85">
        <f t="shared" si="0"/>
        <v>45597</v>
      </c>
      <c r="N2" s="85">
        <f t="shared" si="0"/>
        <v>45627</v>
      </c>
    </row>
    <row r="3" spans="1:48" ht="24" thickBot="1">
      <c r="A3" s="84" t="s">
        <v>208</v>
      </c>
      <c r="C3" s="119">
        <f>'Year 1'!O109</f>
        <v>2399.4</v>
      </c>
      <c r="D3" s="119">
        <f>'Year 1'!P109</f>
        <v>1599.6000000000001</v>
      </c>
      <c r="E3" s="119">
        <f>'Year 1'!Q109</f>
        <v>799.80000000000007</v>
      </c>
      <c r="F3" s="119">
        <f>'Year 1'!R109</f>
        <v>0</v>
      </c>
      <c r="G3" s="119">
        <f>'Year 1'!S109</f>
        <v>0</v>
      </c>
      <c r="H3" s="119">
        <f>'Year 1'!T109</f>
        <v>0</v>
      </c>
      <c r="I3" s="119">
        <f>'Year 1'!U109</f>
        <v>0</v>
      </c>
      <c r="J3" s="119">
        <f>'Year 1'!V109</f>
        <v>0</v>
      </c>
      <c r="K3" s="119">
        <f>'Year 1'!W109</f>
        <v>0</v>
      </c>
      <c r="L3" s="119">
        <f>'Year 1'!X109</f>
        <v>0</v>
      </c>
      <c r="M3" s="119">
        <f>'Year 1'!Y109</f>
        <v>0</v>
      </c>
      <c r="N3" s="119">
        <f>'Year 1'!Z109</f>
        <v>0</v>
      </c>
    </row>
    <row r="6" spans="1:48" ht="23.45">
      <c r="A6" s="84" t="s">
        <v>78</v>
      </c>
      <c r="AV6" s="1"/>
    </row>
    <row r="7" spans="1:48">
      <c r="A7" s="86" t="str">
        <f>IF('Reverse Engineering Valuation'!A34 = "","    ---    ",'Reverse Engineering Valuation'!A34)</f>
        <v>Kilter Tilter - Consumer Version</v>
      </c>
      <c r="B7" s="87" t="str">
        <f>IF(ROUND(B13,1)&gt;0,CONCATENATE("Under by ",ROUND(B13,1)), IF(ROUND(B13,1)&lt;0, CONCATENATE("OVER BY ",ROUND(B13,1)), "You Matched"))</f>
        <v>Under by 50</v>
      </c>
      <c r="C7" s="85">
        <f>DATE('Pro Forma'!C3+1,'Pro Forma'!C4,1)</f>
        <v>45292</v>
      </c>
      <c r="D7" s="85">
        <f>DATE('Pro Forma'!C3+1,'Pro Forma'!C4+1,1)</f>
        <v>45323</v>
      </c>
      <c r="E7" s="85">
        <f>DATE('Pro Forma'!C3+1,'Pro Forma'!C4+2,1)</f>
        <v>45352</v>
      </c>
      <c r="F7" s="85">
        <f>DATE('Pro Forma'!C3+1,'Pro Forma'!C4+3,1)</f>
        <v>45383</v>
      </c>
      <c r="G7" s="85">
        <f>DATE('Pro Forma'!C3+1,'Pro Forma'!C4+4,1)</f>
        <v>45413</v>
      </c>
      <c r="H7" s="85">
        <f>DATE('Pro Forma'!C3+1,'Pro Forma'!C4+5,1)</f>
        <v>45444</v>
      </c>
      <c r="I7" s="85">
        <f>DATE('Pro Forma'!C3+1,'Pro Forma'!C4+6,1)</f>
        <v>45474</v>
      </c>
      <c r="J7" s="85">
        <f>DATE('Pro Forma'!C3+1,'Pro Forma'!C4+7,1)</f>
        <v>45505</v>
      </c>
      <c r="K7" s="85">
        <f>DATE('Pro Forma'!C3+1,'Pro Forma'!C4+8,1)</f>
        <v>45536</v>
      </c>
      <c r="L7" s="85">
        <f>DATE('Pro Forma'!C3+1,'Pro Forma'!C4+9,1)</f>
        <v>45566</v>
      </c>
      <c r="M7" s="85">
        <f>DATE('Pro Forma'!C3+1,'Pro Forma'!C4+10,1)</f>
        <v>45597</v>
      </c>
      <c r="N7" s="85">
        <f>DATE('Pro Forma'!C3+1,'Pro Forma'!C4+11,1)</f>
        <v>45627</v>
      </c>
      <c r="O7" s="121" t="str">
        <f t="shared" ref="O7:AJ7" si="1" xml:space="preserve">  CONCATENATE("Ext +", COLUMN()-14)</f>
        <v>Ext +1</v>
      </c>
      <c r="P7" s="121" t="str">
        <f t="shared" si="1"/>
        <v>Ext +2</v>
      </c>
      <c r="Q7" s="121" t="str">
        <f t="shared" si="1"/>
        <v>Ext +3</v>
      </c>
      <c r="R7" s="121" t="str">
        <f t="shared" si="1"/>
        <v>Ext +4</v>
      </c>
      <c r="S7" s="121" t="str">
        <f t="shared" si="1"/>
        <v>Ext +5</v>
      </c>
      <c r="T7" s="121" t="str">
        <f t="shared" si="1"/>
        <v>Ext +6</v>
      </c>
      <c r="U7" s="121" t="str">
        <f t="shared" si="1"/>
        <v>Ext +7</v>
      </c>
      <c r="V7" s="121" t="str">
        <f t="shared" si="1"/>
        <v>Ext +8</v>
      </c>
      <c r="W7" s="121" t="str">
        <f t="shared" si="1"/>
        <v>Ext +9</v>
      </c>
      <c r="X7" s="121" t="str">
        <f t="shared" si="1"/>
        <v>Ext +10</v>
      </c>
      <c r="Y7" s="121" t="str">
        <f t="shared" si="1"/>
        <v>Ext +11</v>
      </c>
      <c r="Z7" s="121" t="str">
        <f t="shared" si="1"/>
        <v>Ext +12</v>
      </c>
      <c r="AA7" s="88" t="str">
        <f t="shared" si="1"/>
        <v>Ext +13</v>
      </c>
      <c r="AB7" s="88" t="str">
        <f t="shared" si="1"/>
        <v>Ext +14</v>
      </c>
      <c r="AC7" s="88" t="str">
        <f t="shared" si="1"/>
        <v>Ext +15</v>
      </c>
      <c r="AD7" s="88" t="str">
        <f t="shared" si="1"/>
        <v>Ext +16</v>
      </c>
      <c r="AE7" s="88" t="str">
        <f t="shared" si="1"/>
        <v>Ext +17</v>
      </c>
      <c r="AF7" s="88" t="str">
        <f t="shared" si="1"/>
        <v>Ext +18</v>
      </c>
      <c r="AG7" s="88" t="str">
        <f t="shared" si="1"/>
        <v>Ext +19</v>
      </c>
      <c r="AH7" s="88" t="str">
        <f t="shared" si="1"/>
        <v>Ext +20</v>
      </c>
      <c r="AI7" s="88" t="str">
        <f t="shared" si="1"/>
        <v>Ext +21</v>
      </c>
      <c r="AJ7" s="88" t="str">
        <f t="shared" si="1"/>
        <v>Ext +22</v>
      </c>
      <c r="AV7" s="1"/>
    </row>
    <row r="8" spans="1:48">
      <c r="A8" s="90" t="s">
        <v>79</v>
      </c>
      <c r="B8" s="50">
        <f>'Reverse Engineering Valuation'!B34</f>
        <v>2999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1"/>
      <c r="AL8" s="1"/>
      <c r="AV8" s="1">
        <f>SUM(C8:AK8)*B8</f>
        <v>0</v>
      </c>
    </row>
    <row r="9" spans="1:48">
      <c r="A9" s="90" t="s">
        <v>80</v>
      </c>
      <c r="B9" s="52"/>
      <c r="C9" s="50" t="str">
        <f>IF(C8*B9*B8,C8*B9*B8,"")</f>
        <v/>
      </c>
      <c r="D9" s="50" t="str">
        <f>IF(D8*B9*B8,D8*B9*B8,"")</f>
        <v/>
      </c>
      <c r="E9" s="50" t="str">
        <f>IF(E8*B9*B8,E8*B9*B8,"")</f>
        <v/>
      </c>
      <c r="F9" s="50" t="str">
        <f>IF(F8*B9*B8,F8*B9*B8,"")</f>
        <v/>
      </c>
      <c r="G9" s="50" t="str">
        <f>IF(G8*B9*B8,G8*B9*B8,"")</f>
        <v/>
      </c>
      <c r="H9" s="50" t="str">
        <f>IF(H8*B9*B8,H8*B9*B8,"")</f>
        <v/>
      </c>
      <c r="I9" s="50" t="str">
        <f>IF(I8*B9*B8,I8*B9*B8,"")</f>
        <v/>
      </c>
      <c r="J9" s="50" t="str">
        <f>IF(J8*B9*B8,J8*B9*B8,"")</f>
        <v/>
      </c>
      <c r="K9" s="50" t="str">
        <f>IF(K8*B9*B8,K8*B9*B8,"")</f>
        <v/>
      </c>
      <c r="L9" s="50" t="str">
        <f>IF(L8*B9*B8,L8*B9*B8,"")</f>
        <v/>
      </c>
      <c r="M9" s="50" t="str">
        <f>IF(M8*B9*B8,M8*B9*B8,"")</f>
        <v/>
      </c>
      <c r="N9" s="50" t="str">
        <f>IF(N8*B9*B8,N8*B9*B8,"")</f>
        <v/>
      </c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1"/>
      <c r="AV9" s="1">
        <f>SUM(C9:AK9)</f>
        <v>0</v>
      </c>
    </row>
    <row r="10" spans="1:48">
      <c r="A10" s="90" t="s">
        <v>81</v>
      </c>
      <c r="B10" s="53"/>
      <c r="C10" s="50" t="str">
        <f>IF(IF((COLUMN()-2-B10)&gt;0,INDEX(C8:Z8,1, (COLUMN()-2-B10)),0)&gt;=1,(B8* IF((COLUMN()-2-B10)&gt;0,INDEX(C8:Z8,1, (COLUMN()-2-B10)),0)*(1-B9))/(B11+1),"")</f>
        <v/>
      </c>
      <c r="D10" s="50" t="str">
        <f>IF(IF((COLUMN()-2-B10)&gt;0,INDEX(C8:Z8,1, (COLUMN()-2-B10)),0)&gt;=1,(B8* IF((COLUMN()-2-B10)&gt;0,INDEX(C8:Z8,1, (COLUMN()-2-B10)),0)*(1-B9))/(B11+1),"")</f>
        <v/>
      </c>
      <c r="E10" s="50" t="str">
        <f>IF(IF((COLUMN()-2-B10)&gt;0,INDEX(C8:Z8,1, (COLUMN()-2-B10)),0)&gt;=1,(B8* IF((COLUMN()-2-B10)&gt;0,INDEX(C8:Z8,1, (COLUMN()-2-B10)),0)*(1-B9))/(B11+1),"")</f>
        <v/>
      </c>
      <c r="F10" s="50" t="str">
        <f>IF(IF((COLUMN()-2-B10)&gt;0,INDEX(C8:Z8,1, (COLUMN()-2-B10)),0)&gt;=1,(B8* IF((COLUMN()-2-B10)&gt;0,INDEX(C8:Z8,1, (COLUMN()-2-B10)),0)*(1-B9))/(B11+1),"")</f>
        <v/>
      </c>
      <c r="G10" s="50" t="str">
        <f>IF(IF((COLUMN()-2-B10)&gt;0,INDEX(C8:Z8,1, (COLUMN()-2-B10)),0)&gt;=1,(B8* IF((COLUMN()-2-B10)&gt;0,INDEX(C8:Z8,1, (COLUMN()-2-B10)),0)*(1-B9))/(B11+1),"")</f>
        <v/>
      </c>
      <c r="H10" s="50" t="str">
        <f>IF(IF((COLUMN()-2-B10)&gt;0,INDEX(C8:Z8,1, (COLUMN()-2-B10)),0)&gt;=1,(B8* IF((COLUMN()-2-B10)&gt;0,INDEX(C8:Z8,1, (COLUMN()-2-B10)),0)*(1-B9))/(B11+1),"")</f>
        <v/>
      </c>
      <c r="I10" s="50" t="str">
        <f>IF(IF((COLUMN()-2-B10)&gt;0,INDEX(C8:Z8,1, (COLUMN()-2-B10)),0)&gt;=1,(B8* IF((COLUMN()-2-B10)&gt;0,INDEX(C8:Z8,1, (COLUMN()-2-B10)),0)*(1-B9))/(B11+1),"")</f>
        <v/>
      </c>
      <c r="J10" s="50" t="str">
        <f>IF(IF((COLUMN()-2-B10)&gt;0,INDEX(C8:Z8,1, (COLUMN()-2-B10)),0)&gt;=1,(B8* IF((COLUMN()-2-B10)&gt;0,INDEX(C8:Z8,1, (COLUMN()-2-B10)),0)*(1-B9))/(B11+1),"")</f>
        <v/>
      </c>
      <c r="K10" s="50" t="str">
        <f>IF(IF((COLUMN()-2-B10)&gt;0,INDEX(C8:Z8,1, (COLUMN()-2-B10)),0)&gt;=1,(B8* IF((COLUMN()-2-B10)&gt;0,INDEX(C8:Z8,1, (COLUMN()-2-B10)),0)*(1-B9))/(B11+1),"")</f>
        <v/>
      </c>
      <c r="L10" s="50" t="str">
        <f>IF(IF((COLUMN()-2-B10)&gt;0,INDEX(C8:Z8,1, (COLUMN()-2-B10)),0)&gt;=1,(B8* IF((COLUMN()-2-B10)&gt;0,INDEX(C8:Z8,1, (COLUMN()-2-B10)),0)*(1-B9))/(B11+1),"")</f>
        <v/>
      </c>
      <c r="M10" s="50" t="str">
        <f>IF(IF((COLUMN()-2-B10)&gt;0,INDEX(C8:Z8,1, (COLUMN()-2-B10)),0)&gt;=1,(B8* IF((COLUMN()-2-B10)&gt;0,INDEX(C8:Z8,1, (COLUMN()-2-B10)),0)*(1-B9))/(B11+1),"")</f>
        <v/>
      </c>
      <c r="N10" s="50" t="str">
        <f>IF(IF((COLUMN()-2-B10)&gt;0,INDEX(C8:Z8,1, (COLUMN()-2-B10)),0)&gt;=1,(B8* IF((COLUMN()-2-B10)&gt;0,INDEX(C8:Z8,1, (COLUMN()-2-B10)),0)*(1-B9))/(B11+1),"")</f>
        <v/>
      </c>
      <c r="O10" s="56" t="str">
        <f>IF(IF((COLUMN()-2-B10)&gt;0,INDEX(C8:Z8,1, (COLUMN()-2-B10)),0)&gt;=1,(B8* IF((COLUMN()-2-B10)&gt;0,INDEX(C8:Z8,1, (COLUMN()-2-B10)),0)*(1-B9))/(B11+1),"")</f>
        <v/>
      </c>
      <c r="P10" s="56" t="str">
        <f>IF(IF((COLUMN()-2-B10)&gt;0,INDEX(C8:Z8,1, (COLUMN()-2-B10)),0)&gt;=1,(B8* IF((COLUMN()-2-B10)&gt;0,INDEX(C8:Z8,1, (COLUMN()-2-B10)),0)*(1-B9))/(B11+1),"")</f>
        <v/>
      </c>
      <c r="Q10" s="56" t="str">
        <f>IF(IF((COLUMN()-2-B10)&gt;0,INDEX(C8:Z8,1, (COLUMN()-2-B10)),0)&gt;=1,(B8* IF((COLUMN()-2-B10)&gt;0,INDEX(C8:Z8,1, (COLUMN()-2-B10)),0)*(1-B9))/(B11+1),"")</f>
        <v/>
      </c>
      <c r="R10" s="56" t="str">
        <f>IF(IF((COLUMN()-2-B10)&gt;0,INDEX(C8:Z8,1, (COLUMN()-2-B10)),0)&gt;=1,(B8* IF((COLUMN()-2-B10)&gt;0,INDEX(C8:Z8,1, (COLUMN()-2-B10)),0)*(1-B9))/(B11+1),"")</f>
        <v/>
      </c>
      <c r="S10" s="56" t="str">
        <f>IF(IF((COLUMN()-2-B10)&gt;0,INDEX(C8:Z8,1, (COLUMN()-2-B10)),0)&gt;=1,(B8* IF((COLUMN()-2-B10)&gt;0,INDEX(C8:Z8,1, (COLUMN()-2-B10)),0)*(1-B9))/(B11+1),"")</f>
        <v/>
      </c>
      <c r="T10" s="56" t="str">
        <f>IF(IF((COLUMN()-2-B10)&gt;0,INDEX(C8:Z8,1, (COLUMN()-2-B10)),0)&gt;=1,(B8* IF((COLUMN()-2-B10)&gt;0,INDEX(C8:Z8,1, (COLUMN()-2-B10)),0)*(1-B9))/(B11+1),"")</f>
        <v/>
      </c>
      <c r="U10" s="56" t="str">
        <f>IF(IF((COLUMN()-2-B10)&gt;0,INDEX(C8:Z8,1, (COLUMN()-2-B10)),0)&gt;=1,(B8* IF((COLUMN()-2-B10)&gt;0,INDEX(C8:Z8,1, (COLUMN()-2-B10)),0)*(1-B9))/(B11+1),"")</f>
        <v/>
      </c>
      <c r="V10" s="56" t="str">
        <f>IF(IF((COLUMN()-2-B10)&gt;0,INDEX(C8:Z8,1, (COLUMN()-2-B10)),0)&gt;=1,(B8* IF((COLUMN()-2-B10)&gt;0,INDEX(C8:Z8,1, (COLUMN()-2-B10)),0)*(1-B9))/(B11+1),"")</f>
        <v/>
      </c>
      <c r="W10" s="56" t="str">
        <f>IF(IF((COLUMN()-2-B10)&gt;0,INDEX(C8:Z8,1, (COLUMN()-2-B10)),0)&gt;=1,(B8* IF((COLUMN()-2-B10)&gt;0,INDEX(C8:Z8,1, (COLUMN()-2-B10)),0)*(1-B9))/(B11+1),"")</f>
        <v/>
      </c>
      <c r="X10" s="56" t="str">
        <f>IF(IF((COLUMN()-2-B10)&gt;0,INDEX(C8:Z8,1, (COLUMN()-2-B10)),0)&gt;=1,(B8* IF((COLUMN()-2-B10)&gt;0,INDEX(C8:Z8,1, (COLUMN()-2-B10)),0)*(1-B9))/(B11+1),"")</f>
        <v/>
      </c>
      <c r="Y10" s="56" t="str">
        <f>IF(IF((COLUMN()-2-B10)&gt;0,INDEX(C8:Z8,1, (COLUMN()-2-B10)),0)&gt;=1,(B8* IF((COLUMN()-2-B10)&gt;0,INDEX(C8:Z8,1, (COLUMN()-2-B10)),0)*(1-B9))/(B11+1),"")</f>
        <v/>
      </c>
      <c r="Z10" s="91" t="str">
        <f>IF(IF((COLUMN()-2-B10)&gt;0,INDEX(C8:Z8,1, (COLUMN()-2-B10)),0)&gt;=1,(B8* IF((COLUMN()-2-B10)&gt;0,INDEX(C8:Z8,1, (COLUMN()-2-B10)),0)*(1-B9))/(B11+1),"")</f>
        <v/>
      </c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1"/>
      <c r="AV10" s="1">
        <f>SUM(C10:AK10)</f>
        <v>0</v>
      </c>
    </row>
    <row r="11" spans="1:48">
      <c r="A11" s="90" t="s">
        <v>82</v>
      </c>
      <c r="B11" s="53"/>
      <c r="C11" s="91"/>
      <c r="D11" s="50" t="str">
        <f>IF(SUM(D12),SUM(D12),"")</f>
        <v/>
      </c>
      <c r="E11" s="50" t="str">
        <f>IF(SUM(E12:E13),SUM(E12:E13),"")</f>
        <v/>
      </c>
      <c r="F11" s="50" t="str">
        <f>IF(SUM(F12:F14),SUM(F12:F14),"")</f>
        <v/>
      </c>
      <c r="G11" s="50" t="str">
        <f>IF(SUM(G12:G15),SUM(G12:G15),"")</f>
        <v/>
      </c>
      <c r="H11" s="50" t="str">
        <f>IF(SUM(H12:H16),SUM(H12:H16),"")</f>
        <v/>
      </c>
      <c r="I11" s="50" t="str">
        <f>IF(SUM(I12:I17),SUM(I12:I17),"")</f>
        <v/>
      </c>
      <c r="J11" s="50" t="str">
        <f>IF(SUM(J12:J18),SUM(J12:J18),"")</f>
        <v/>
      </c>
      <c r="K11" s="50" t="str">
        <f>IF(SUM(K12:K19),SUM(K12:K19),"")</f>
        <v/>
      </c>
      <c r="L11" s="50" t="str">
        <f>IF(SUM(L12:L20),SUM(L12:L20),"")</f>
        <v/>
      </c>
      <c r="M11" s="50" t="str">
        <f>IF(SUM(M12:M21),SUM(M12:M21),"")</f>
        <v/>
      </c>
      <c r="N11" s="50" t="str">
        <f>IF(SUM(N12:N22),SUM(N12:N22),"")</f>
        <v/>
      </c>
      <c r="O11" s="56" t="str">
        <f t="shared" ref="O11:Z11" si="2">IF(SUM(O12:O23),SUM(O12:O23),"")</f>
        <v/>
      </c>
      <c r="P11" s="56" t="str">
        <f t="shared" si="2"/>
        <v/>
      </c>
      <c r="Q11" s="56" t="str">
        <f t="shared" si="2"/>
        <v/>
      </c>
      <c r="R11" s="56" t="str">
        <f t="shared" si="2"/>
        <v/>
      </c>
      <c r="S11" s="56" t="str">
        <f t="shared" si="2"/>
        <v/>
      </c>
      <c r="T11" s="56" t="str">
        <f t="shared" si="2"/>
        <v/>
      </c>
      <c r="U11" s="56" t="str">
        <f t="shared" si="2"/>
        <v/>
      </c>
      <c r="V11" s="56" t="str">
        <f t="shared" si="2"/>
        <v/>
      </c>
      <c r="W11" s="56" t="str">
        <f t="shared" si="2"/>
        <v/>
      </c>
      <c r="X11" s="56" t="str">
        <f t="shared" si="2"/>
        <v/>
      </c>
      <c r="Y11" s="56" t="str">
        <f t="shared" si="2"/>
        <v/>
      </c>
      <c r="Z11" s="56" t="str">
        <f t="shared" si="2"/>
        <v/>
      </c>
      <c r="AA11" s="72" t="str">
        <f>IF(SUM(AA14:AA23),SUM(AA14:AA23),"")</f>
        <v/>
      </c>
      <c r="AB11" s="72" t="str">
        <f>IF(SUM(AB15:AB23),SUM(AB15:AB23),"")</f>
        <v/>
      </c>
      <c r="AC11" s="72" t="str">
        <f>IF(SUM(AC16:AC23),SUM(AC16:AC23),"")</f>
        <v/>
      </c>
      <c r="AD11" s="72" t="str">
        <f>IF(SUM(AD17:AD23),SUM(AD17:AD23),"")</f>
        <v/>
      </c>
      <c r="AE11" s="72" t="str">
        <f>IF(SUM(AE18:AE23),SUM(AE18:AE23),"")</f>
        <v/>
      </c>
      <c r="AF11" s="72" t="str">
        <f>IF(SUM(AF19:AF23),SUM(AF19:AF23),"")</f>
        <v/>
      </c>
      <c r="AG11" s="72" t="str">
        <f>IF(SUM(AG20:AG23),SUM(AG20:AG23),"")</f>
        <v/>
      </c>
      <c r="AH11" s="72" t="str">
        <f>IF(SUM(AH21:AH23),SUM(AH21:AH23),"")</f>
        <v/>
      </c>
      <c r="AI11" s="72" t="str">
        <f>IF(SUM(AI22:AI23),SUM(AI22:AI23),"")</f>
        <v/>
      </c>
      <c r="AJ11" s="72" t="str">
        <f>IF(SUM(AJ23),SUM(AJ23),"")</f>
        <v/>
      </c>
      <c r="AK11" s="1"/>
      <c r="AL11" s="1"/>
      <c r="AV11" s="1">
        <f>SUM(C11:AK11)</f>
        <v>0</v>
      </c>
    </row>
    <row r="12" spans="1:48" hidden="1">
      <c r="A12" s="90" t="s">
        <v>83</v>
      </c>
      <c r="B12" s="51">
        <f>IF('Reverse Engineering Valuation'!F34,'Reverse Engineering Valuation'!H34,'Reverse Engineering Valuation'!E34)</f>
        <v>50</v>
      </c>
      <c r="C12" s="91"/>
      <c r="D12" s="50" t="str">
        <f>IF(OR(NOT(C8),(COLUMN()-3)-(B10+1)&lt;0,(B10+1+B11) - (COLUMN()-2) &lt;0),"",C8*(1-B9)/(B11+1)*B8)</f>
        <v/>
      </c>
      <c r="E12" s="50" t="str">
        <f>IF(OR(NOT(C8),(COLUMN()-3)-(B10+1)&lt;0,(B10+1+B11) - (COLUMN()-2) &lt;0),"",C8*(1-B9)/(B11+1)*B8)</f>
        <v/>
      </c>
      <c r="F12" s="50" t="str">
        <f>IF(OR(NOT(C8),(COLUMN()-3)-(B10+1)&lt;0,(B10+1+B11) - (COLUMN()-2) &lt;0),"",C8*(1-B9)/(B11+1)*B8)</f>
        <v/>
      </c>
      <c r="G12" s="50" t="str">
        <f>IF(OR(NOT(C8),(COLUMN()-3)-(B10+1)&lt;0,(B10+1+B11) - (COLUMN()-2) &lt;0),"",C8*(1-B9)/(B11+1)*B8)</f>
        <v/>
      </c>
      <c r="H12" s="50" t="str">
        <f>IF(OR(NOT(C8),(COLUMN()-3)-(B10+1)&lt;0,(B10+1+B11) - (COLUMN()-2) &lt;0),"",C8*(1-B9)/(B11+1)*B8)</f>
        <v/>
      </c>
      <c r="I12" s="50" t="str">
        <f>IF(OR(NOT(C8),(COLUMN()-3)-(B10+1)&lt;0,(B10+1+B11) - (COLUMN()-2) &lt;0),"",C8*(1-B9)/(B11+1)*B8)</f>
        <v/>
      </c>
      <c r="J12" s="50" t="str">
        <f>IF(OR(NOT(C8),(COLUMN()-3)-(B10+1)&lt;0,(B10+1+B11) - (COLUMN()-2) &lt;0),"",C8*(1-B9)/(B11+1)*B8)</f>
        <v/>
      </c>
      <c r="K12" s="50" t="str">
        <f>IF(OR(NOT(C8),(COLUMN()-3)-(B10+1)&lt;0,(B10+1+B11) - (COLUMN()-2) &lt;0),"",C8*(1-B9)/(B11+1)*B8)</f>
        <v/>
      </c>
      <c r="L12" s="50" t="str">
        <f>IF(OR(NOT(C8),(COLUMN()-3)-(B10+1)&lt;0,(B10+1+B11) - (COLUMN()-2) &lt;0),"",C8*(1-B9)/(B11+1)*B8)</f>
        <v/>
      </c>
      <c r="M12" s="50" t="str">
        <f>IF(OR(NOT(C8),(COLUMN()-3)-(B10+1)&lt;0,(B10+1+B11) - (COLUMN()-2) &lt;0),"",C8*(1-B9)/(B11+1)*B8)</f>
        <v/>
      </c>
      <c r="N12" s="50" t="str">
        <f>IF(OR(NOT(C8),(COLUMN()-3)-(B10+1)&lt;0,(B10+1+B11) - (COLUMN()-2) &lt;0),"",C8*(1-B9)/(B11+1)*B8)</f>
        <v/>
      </c>
      <c r="O12" s="56" t="str">
        <f>IF(OR(NOT(C8),(COLUMN()-3)-(B10+1)&lt;0,(B10+1+B11) - (COLUMN()-2) &lt;0),"",C8*(1-B9)/(B11+1)*B8)</f>
        <v/>
      </c>
      <c r="P12" s="56" t="str">
        <f>IF(OR(NOT(C8),(COLUMN()-3)-(B10+1)&lt;0,(B10+1+B11) - (COLUMN()-2) &lt;0),"",C8*(1-B9)/(B11+1)*B8)</f>
        <v/>
      </c>
      <c r="Q12" s="56" t="str">
        <f>IF(OR(NOT(C8),(COLUMN()-3)-(B10+1)&lt;0,(B10+1+B11) - (COLUMN()-2) &lt;0),"",C8*(1-B9)/(B11+1)*B8)</f>
        <v/>
      </c>
      <c r="R12" s="56" t="str">
        <f>IF(OR(NOT(C8),(COLUMN()-3)-(B10+1)&lt;0,(B10+1+B11) - (COLUMN()-2) &lt;0),"",C8*(1-B9)/(B11+1)*B8)</f>
        <v/>
      </c>
      <c r="S12" s="56" t="str">
        <f>IF(OR(NOT(C8),(COLUMN()-3)-(B10+1)&lt;0,(B10+1+B11) - (COLUMN()-2) &lt;0),"",C8*(1-B9)/(B11+1)*B8)</f>
        <v/>
      </c>
      <c r="T12" s="56" t="str">
        <f>IF(OR(NOT(C8),(COLUMN()-3)-(B10+1)&lt;0,(B10+1+B11) - (COLUMN()-2) &lt;0),"",C8*(1-B9)/(B11+1)*B8)</f>
        <v/>
      </c>
      <c r="U12" s="56" t="str">
        <f>IF(OR(NOT(C8),(COLUMN()-3)-(B10+1)&lt;0,(B10+1+B11) - (COLUMN()-2) &lt;0),"",C8*(1-B9)/(B11+1)*B8)</f>
        <v/>
      </c>
      <c r="V12" s="56" t="str">
        <f>IF(OR(NOT(C8),(COLUMN()-3)-(B10+1)&lt;0,(B10+1+B11) - (COLUMN()-2) &lt;0),"",C8*(1-B9)/(B11+1)*B8)</f>
        <v/>
      </c>
      <c r="W12" s="56" t="str">
        <f>IF(OR(NOT(C8),(COLUMN()-3)-(B10+1)&lt;0,(B10+1+B11) - (COLUMN()-2) &lt;0),"",C8*(1-B9)/(B11+1)*B8)</f>
        <v/>
      </c>
      <c r="X12" s="56" t="str">
        <f>IF(OR(NOT(C8),(COLUMN()-3)-(B10+1)&lt;0,(B10+1+B11) - (COLUMN()-2) &lt;0),"",C8*(1-B9)/(B11+1)*B8)</f>
        <v/>
      </c>
      <c r="Y12" s="56" t="str">
        <f>IF(OR(NOT(C8),(COLUMN()-3)-(B10+1)&lt;0,(B10+1+B11) - (COLUMN()-2) &lt;0),"",C8*(1-B9)/(B11+1)*B8)</f>
        <v/>
      </c>
      <c r="Z12" s="56" t="str">
        <f>IF(OR(NOT(C8),(COLUMN()-3)-(B10+1)&lt;0,(B10+1+B11) - (COLUMN()-2) &lt;0),"",C8*(1-B9)/(B11+1)*B8)</f>
        <v/>
      </c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1"/>
      <c r="AV12" s="1">
        <f t="shared" ref="AV12:AV22" si="3">SUM(D12:AK12)</f>
        <v>0</v>
      </c>
    </row>
    <row r="13" spans="1:48" hidden="1">
      <c r="A13" s="90" t="s">
        <v>84</v>
      </c>
      <c r="B13" s="54">
        <f>B12-SUM(C8:N8)</f>
        <v>50</v>
      </c>
      <c r="C13" s="91"/>
      <c r="D13" s="91"/>
      <c r="E13" s="50" t="str">
        <f>IF(OR(NOT(D8),(COLUMN()-3)-(B10+2)&lt;0,(B10+2 +B11) - (COLUMN()-2) &lt;0),"",D8*(1-B9)/(B11+1)*B8)</f>
        <v/>
      </c>
      <c r="F13" s="50" t="str">
        <f>IF(OR(NOT(D8),(COLUMN()-3)-(B10+2)&lt;0,(B10+2 +B11) - (COLUMN()-2) &lt;0),"",D8*(1-B9)/(B11+1)*B8)</f>
        <v/>
      </c>
      <c r="G13" s="50" t="str">
        <f>IF(OR(NOT(D8),(COLUMN()-3)-(B10+2)&lt;0,(B10+2 +B11) - (COLUMN()-2) &lt;0),"",D8*(1-B9)/(B11+1)*B8)</f>
        <v/>
      </c>
      <c r="H13" s="50" t="str">
        <f>IF(OR(NOT(D8),(COLUMN()-3)-(B10+2)&lt;0,(B10+2 +B11) - (COLUMN()-2) &lt;0),"",D8*(1-B9)/(B11+1)*B8)</f>
        <v/>
      </c>
      <c r="I13" s="50" t="str">
        <f>IF(OR(NOT(D8),(COLUMN()-3)-(B10+2)&lt;0,(B10+2 +B11) - (COLUMN()-2) &lt;0),"",D8*(1-B9)/(B11+1)*B8)</f>
        <v/>
      </c>
      <c r="J13" s="50" t="str">
        <f>IF(OR(NOT(D8),(COLUMN()-3)-(B10+2)&lt;0,(B10+2 +B11) - (COLUMN()-2) &lt;0),"",D8*(1-B9)/(B11+1)*B8)</f>
        <v/>
      </c>
      <c r="K13" s="50" t="str">
        <f>IF(OR(NOT(D8),(COLUMN()-3)-(B10+2)&lt;0,(B10+2 +B11) - (COLUMN()-2) &lt;0),"",D8*(1-B9)/(B11+1)*B8)</f>
        <v/>
      </c>
      <c r="L13" s="50" t="str">
        <f>IF(OR(NOT(D8),(COLUMN()-3)-(B10+2)&lt;0,(B10+2 +B11) - (COLUMN()-2) &lt;0),"",D8*(1-B9)/(B11+1)*B8)</f>
        <v/>
      </c>
      <c r="M13" s="50" t="str">
        <f>IF(OR(NOT(D8),(COLUMN()-3)-(B10+2)&lt;0,(B10+2 +B11) - (COLUMN()-2) &lt;0),"",D8*(1-B9)/(B11+1)*B8)</f>
        <v/>
      </c>
      <c r="N13" s="50" t="str">
        <f>IF(OR(NOT(D8),(COLUMN()-3)-(B10+2)&lt;0,(B10+2 +B11) - (COLUMN()-2) &lt;0),"",D8*(1-B9)/(B11+1)*B8)</f>
        <v/>
      </c>
      <c r="O13" s="56" t="str">
        <f>IF(OR(NOT(D8),(COLUMN()-3)-(B10+2)&lt;0,(B10+2 +B11) - (COLUMN()-2) &lt;0),"",D8*(1-B9)/(B11+1)*B8)</f>
        <v/>
      </c>
      <c r="P13" s="56" t="str">
        <f>IF(OR(NOT(D8),(COLUMN()-3)-(B10+2)&lt;0,(B10+2 +B11) - (COLUMN()-2) &lt;0),"",D8*(1-B9)/(B11+1)*B8)</f>
        <v/>
      </c>
      <c r="Q13" s="56" t="str">
        <f>IF(OR(NOT(D8),(COLUMN()-3)-(B10+2)&lt;0,(B10+2 +B11) - (COLUMN()-2) &lt;0),"",D8*(1-B9)/(B11+1)*B8)</f>
        <v/>
      </c>
      <c r="R13" s="56" t="str">
        <f>IF(OR(NOT(D8),(COLUMN()-3)-(B10+2)&lt;0,(B10+2 +B11) - (COLUMN()-2) &lt;0),"",D8*(1-B9)/(B11+1)*B8)</f>
        <v/>
      </c>
      <c r="S13" s="56" t="str">
        <f>IF(OR(NOT(D8),(COLUMN()-3)-(B10+2)&lt;0,(B10+2 +B11) - (COLUMN()-2) &lt;0),"",D8*(1-B9)/(B11+1)*B8)</f>
        <v/>
      </c>
      <c r="T13" s="56" t="str">
        <f>IF(OR(NOT(D8),(COLUMN()-3)-(B10+2)&lt;0,(B10+2 +B11) - (COLUMN()-2) &lt;0),"",D8*(1-B9)/(B11+1)*B8)</f>
        <v/>
      </c>
      <c r="U13" s="56" t="str">
        <f>IF(OR(NOT(D8),(COLUMN()-3)-(B10+2)&lt;0,(B10+2 +B11) - (COLUMN()-2) &lt;0),"",D8*(1-B9)/(B11+1)*B8)</f>
        <v/>
      </c>
      <c r="V13" s="56" t="str">
        <f>IF(OR(NOT(D8),(COLUMN()-3)-(B10+2)&lt;0,(B10+2 +B11) - (COLUMN()-2) &lt;0),"",D8*(1-B9)/(B11+1)*B8)</f>
        <v/>
      </c>
      <c r="W13" s="56" t="str">
        <f>IF(OR(NOT(D8),(COLUMN()-3)-(B10+2)&lt;0,(B10+2 +B11) - (COLUMN()-2) &lt;0),"",D8*(1-B9)/(B11+1)*B8)</f>
        <v/>
      </c>
      <c r="X13" s="56" t="str">
        <f>IF(OR(NOT(D8),(COLUMN()-3)-(B10+2)&lt;0,(B10+2 +B11) - (COLUMN()-2) &lt;0),"",D8*(1-B9)/(B11+1)*B8)</f>
        <v/>
      </c>
      <c r="Y13" s="56" t="str">
        <f>IF(OR(NOT(D8),(COLUMN()-3)-(B10+2)&lt;0,(B10+2 +B11) - (COLUMN()-2) &lt;0),"",D8*(1-B9)/(B11+1)*B8)</f>
        <v/>
      </c>
      <c r="Z13" s="56" t="str">
        <f>IF(OR(NOT(D8),(COLUMN()-3)-(B10+2)&lt;0,(B10+2 +B11) - (COLUMN()-2) &lt;0),"",D8*(1-B9)/(B11+1)*B8)</f>
        <v/>
      </c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V13" s="1">
        <f t="shared" si="3"/>
        <v>0</v>
      </c>
    </row>
    <row r="14" spans="1:48" hidden="1">
      <c r="A14" s="91"/>
      <c r="B14" s="91"/>
      <c r="C14" s="91"/>
      <c r="D14" s="91"/>
      <c r="E14" s="91"/>
      <c r="F14" s="50" t="str">
        <f>IF(OR(NOT(E8),(COLUMN()-3)-(B10+3)&lt;0,(B10+3+B11) - (COLUMN()-2) &lt;0),"",E8*(1-B9)/(B11+1)*B8)</f>
        <v/>
      </c>
      <c r="G14" s="50" t="str">
        <f>IF(OR(NOT(E8),(COLUMN()-3)-(B10+3)&lt;0,(B10+3+B11) - (COLUMN()-2) &lt;0),"",E8*(1-B9)/(B11+1)*B8)</f>
        <v/>
      </c>
      <c r="H14" s="50" t="str">
        <f>IF(OR(NOT(E8),(COLUMN()-3)-(B10+3)&lt;0,(B10+3+B11) - (COLUMN()-2) &lt;0),"",E8*(1-B9)/(B11+1)*B8)</f>
        <v/>
      </c>
      <c r="I14" s="50" t="str">
        <f>IF(OR(NOT(E8),(COLUMN()-3)-(B10+3)&lt;0,(B10+3+B11) - (COLUMN()-2) &lt;0),"",E8*(1-B9)/(B11+1)*B8)</f>
        <v/>
      </c>
      <c r="J14" s="50" t="str">
        <f>IF(OR(NOT(E8),(COLUMN()-3)-(B10+3)&lt;0,(B10+3+B11) - (COLUMN()-2) &lt;0),"",E8*(1-B9)/(B11+1)*B8)</f>
        <v/>
      </c>
      <c r="K14" s="50" t="str">
        <f>IF(OR(NOT(E8),(COLUMN()-3)-(B10+3)&lt;0,(B10+3+B11) - (COLUMN()-2) &lt;0),"",E8*(1-B9)/(B11+1)*B8)</f>
        <v/>
      </c>
      <c r="L14" s="50" t="str">
        <f>IF(OR(NOT(E8),(COLUMN()-3)-(B10+3)&lt;0,(B10+3+B11) - (COLUMN()-2) &lt;0),"",E8*(1-B9)/(B11+1)*B8)</f>
        <v/>
      </c>
      <c r="M14" s="50" t="str">
        <f>IF(OR(NOT(E8),(COLUMN()-3)-(B10+3)&lt;0,(B10+3+B11) - (COLUMN()-2) &lt;0),"",E8*(1-B9)/(B11+1)*B8)</f>
        <v/>
      </c>
      <c r="N14" s="50" t="str">
        <f>IF(OR(NOT(E8),(COLUMN()-3)-(B10+3)&lt;0,(B10+3+B11) - (COLUMN()-2) &lt;0),"",E8*(1-B9)/(B11+1)*B8)</f>
        <v/>
      </c>
      <c r="O14" s="56" t="str">
        <f>IF(OR(NOT(E8),(COLUMN()-3)-(B10+3)&lt;0,(B10+3+B11) - (COLUMN()-2) &lt;0),"",E8*(1-B9)/(B11+1)*B8)</f>
        <v/>
      </c>
      <c r="P14" s="56" t="str">
        <f>IF(OR(NOT(E8),(COLUMN()-3)-(B10+3)&lt;0,(B10+3+B11) - (COLUMN()-2) &lt;0),"",E8*(1-B9)/(B11+1)*B8)</f>
        <v/>
      </c>
      <c r="Q14" s="56" t="str">
        <f>IF(OR(NOT(E8),(COLUMN()-3)-(B10+3)&lt;0,(B10+3+B11) - (COLUMN()-2) &lt;0),"",E8*(1-B9)/(B11+1)*B8)</f>
        <v/>
      </c>
      <c r="R14" s="56" t="str">
        <f>IF(OR(NOT(E8),(COLUMN()-3)-(B10+3)&lt;0,(B10+3+B11) - (COLUMN()-2) &lt;0),"",E8*(1-B9)/(B11+1)*B8)</f>
        <v/>
      </c>
      <c r="S14" s="56" t="str">
        <f>IF(OR(NOT(E8),(COLUMN()-3)-(B10+3)&lt;0,(B10+3+B11) - (COLUMN()-2) &lt;0),"",E8*(1-B9)/(B11+1)*B8)</f>
        <v/>
      </c>
      <c r="T14" s="56" t="str">
        <f>IF(OR(NOT(E8),(COLUMN()-3)-(B10+3)&lt;0,(B10+3+B11) - (COLUMN()-2) &lt;0),"",E8*(1-B9)/(B11+1)*B8)</f>
        <v/>
      </c>
      <c r="U14" s="56" t="str">
        <f>IF(OR(NOT(E8),(COLUMN()-3)-(B10+3)&lt;0,(B10+3+B11) - (COLUMN()-2) &lt;0),"",E8*(1-B9)/(B11+1)*B8)</f>
        <v/>
      </c>
      <c r="V14" s="56" t="str">
        <f>IF(OR(NOT(E8),(COLUMN()-3)-(B10+3)&lt;0,(B10+3+B11) - (COLUMN()-2) &lt;0),"",E8*(1-B9)/(B11+1)*B8)</f>
        <v/>
      </c>
      <c r="W14" s="56" t="str">
        <f>IF(OR(NOT(E8),(COLUMN()-3)-(B10+3)&lt;0,(B10+3+B11) - (COLUMN()-2) &lt;0),"",E8*(1-B9)/(B11+1)*B8)</f>
        <v/>
      </c>
      <c r="X14" s="56" t="str">
        <f>IF(OR(NOT(E8),(COLUMN()-3)-(B10+3)&lt;0,(B10+3+B11) - (COLUMN()-2) &lt;0),"",E8*(1-B9)/(B11+1)*B8)</f>
        <v/>
      </c>
      <c r="Y14" s="56" t="str">
        <f>IF(OR(NOT(E8),(COLUMN()-3)-(B10+3)&lt;0,(B10+3+B11) - (COLUMN()-2) &lt;0),"",E8*(1-B9)/(B11+1)*B8)</f>
        <v/>
      </c>
      <c r="Z14" s="56" t="str">
        <f>IF(OR(NOT(E8),(COLUMN()-3)-(B10+3)&lt;0,(B10+3+B11) - (COLUMN()-2) &lt;0),"",E8*(1-B9)/(B11+1)*B8)</f>
        <v/>
      </c>
      <c r="AA14" s="72" t="str">
        <f>IF(OR(NOT(E8),(COLUMN()-3)-(B10+3)&lt;0,(B10+3+B11) - (COLUMN()-2) &lt;0),"",E8*(1-B9)/(B11+1)*B8)</f>
        <v/>
      </c>
      <c r="AB14" s="91"/>
      <c r="AC14" s="91"/>
      <c r="AD14" s="91"/>
      <c r="AE14" s="91"/>
      <c r="AF14" s="91"/>
      <c r="AG14" s="91"/>
      <c r="AH14" s="91"/>
      <c r="AI14" s="91"/>
      <c r="AJ14" s="91"/>
      <c r="AV14" s="1">
        <f t="shared" si="3"/>
        <v>0</v>
      </c>
    </row>
    <row r="15" spans="1:48" hidden="1">
      <c r="A15" s="91"/>
      <c r="B15" s="91"/>
      <c r="C15" s="91"/>
      <c r="D15" s="91"/>
      <c r="E15" s="91"/>
      <c r="F15" s="91"/>
      <c r="G15" s="50" t="str">
        <f>IF(OR(NOT(F8),(COLUMN()-3)-(B10+4)&lt;0,(B10+4+B11) - (COLUMN()-2) &lt;0),"",F8*(1-B9)/(B11+1)*B8)</f>
        <v/>
      </c>
      <c r="H15" s="50" t="str">
        <f>IF(OR(NOT(F8),(COLUMN()-3)-(B10+4)&lt;0,(B10+4+B11) - (COLUMN()-2) &lt;0),"",F8*(1-B9)/(B11+1)*B8)</f>
        <v/>
      </c>
      <c r="I15" s="50" t="str">
        <f>IF(OR(NOT(F8),(COLUMN()-3)-(B10+4)&lt;0,(B10+4+B11) - (COLUMN()-2) &lt;0),"",F8*(1-B9)/(B11+1)*B8)</f>
        <v/>
      </c>
      <c r="J15" s="50" t="str">
        <f>IF(OR(NOT(F8),(COLUMN()-3)-(B10+4)&lt;0,(B10+4+B11) - (COLUMN()-2) &lt;0),"",F8*(1-B9)/(B11+1)*B8)</f>
        <v/>
      </c>
      <c r="K15" s="50" t="str">
        <f>IF(OR(NOT(F8),(COLUMN()-3)-(B10+4)&lt;0,(B10+4+B11) - (COLUMN()-2) &lt;0),"",F8*(1-B9)/(B11+1)*B8)</f>
        <v/>
      </c>
      <c r="L15" s="50" t="str">
        <f>IF(OR(NOT(F8),(COLUMN()-3)-(B10+4)&lt;0,(B10+4+B11) - (COLUMN()-2) &lt;0),"",F8*(1-B9)/(B11+1)*B8)</f>
        <v/>
      </c>
      <c r="M15" s="50" t="str">
        <f>IF(OR(NOT(F8),(COLUMN()-3)-(B10+4)&lt;0,(B10+4+B11) - (COLUMN()-2) &lt;0),"",F8*(1-B9)/(B11+1)*B8)</f>
        <v/>
      </c>
      <c r="N15" s="50" t="str">
        <f>IF(OR(NOT(F8),(COLUMN()-3)-(B10+4)&lt;0,(B10+4+B11) - (COLUMN()-2) &lt;0),"",F8*(1-B9)/(B11+1)*B8)</f>
        <v/>
      </c>
      <c r="O15" s="56" t="str">
        <f>IF(OR(NOT(F8),(COLUMN()-3)-(B10+4)&lt;0,(B10+4+B11) - (COLUMN()-2) &lt;0),"",F8*(1-B9)/(B11+1)*B8)</f>
        <v/>
      </c>
      <c r="P15" s="56" t="str">
        <f>IF(OR(NOT(F8),(COLUMN()-3)-(B10+4)&lt;0,(B10+4+B11) - (COLUMN()-2) &lt;0),"",F8*(1-B9)/(B11+1)*B8)</f>
        <v/>
      </c>
      <c r="Q15" s="56" t="str">
        <f>IF(OR(NOT(F8),(COLUMN()-3)-(B10+4)&lt;0,(B10+4+B11) - (COLUMN()-2) &lt;0),"",F8*(1-B9)/(B11+1)*B8)</f>
        <v/>
      </c>
      <c r="R15" s="56" t="str">
        <f>IF(OR(NOT(F8),(COLUMN()-3)-(B10+4)&lt;0,(B10+4+B11) - (COLUMN()-2) &lt;0),"",F8*(1-B9)/(B11+1)*B8)</f>
        <v/>
      </c>
      <c r="S15" s="56" t="str">
        <f>IF(OR(NOT(F8),(COLUMN()-3)-(B10+4)&lt;0,(B10+4+B11) - (COLUMN()-2) &lt;0),"",F8*(1-B9)/(B11+1)*B8)</f>
        <v/>
      </c>
      <c r="T15" s="56" t="str">
        <f>IF(OR(NOT(F8),(COLUMN()-3)-(B10+4)&lt;0,(B10+4+B11) - (COLUMN()-2) &lt;0),"",F8*(1-B9)/(B11+1)*B8)</f>
        <v/>
      </c>
      <c r="U15" s="56" t="str">
        <f>IF(OR(NOT(F8),(COLUMN()-3)-(B10+4)&lt;0,(B10+4+B11) - (COLUMN()-2) &lt;0),"",F8*(1-B9)/(B11+1)*B8)</f>
        <v/>
      </c>
      <c r="V15" s="56" t="str">
        <f>IF(OR(NOT(F8),(COLUMN()-3)-(B10+4)&lt;0,(B10+4+B11) - (COLUMN()-2) &lt;0),"",F8*(1-B9)/(B11+1)*B8)</f>
        <v/>
      </c>
      <c r="W15" s="56" t="str">
        <f>IF(OR(NOT(F8),(COLUMN()-3)-(B10+4)&lt;0,(B10+4+B11) - (COLUMN()-2) &lt;0),"",F8*(1-B9)/(B11+1)*B8)</f>
        <v/>
      </c>
      <c r="X15" s="56" t="str">
        <f>IF(OR(NOT(F8),(COLUMN()-3)-(B10+4)&lt;0,(B10+4+B11) - (COLUMN()-2) &lt;0),"",F8*(1-B9)/(B11+1)*B8)</f>
        <v/>
      </c>
      <c r="Y15" s="56" t="str">
        <f>IF(OR(NOT(F8),(COLUMN()-3)-(B10+4)&lt;0,(B10+4+B11) - (COLUMN()-2) &lt;0),"",F8*(1-B9)/(B11+1)*B8)</f>
        <v/>
      </c>
      <c r="Z15" s="56" t="str">
        <f>IF(OR(NOT(F8),(COLUMN()-3)-(B10+4)&lt;0,(B10+4+B11) - (COLUMN()-2) &lt;0),"",F8*(1-B9)/(B11+1)*B8)</f>
        <v/>
      </c>
      <c r="AA15" s="72" t="str">
        <f>IF(OR(NOT(F8),(COLUMN()-3)-(B10+4)&lt;0,(B10+4+B11) - (COLUMN()-2) &lt;0),"",F8*(1-B9)/(B11+1)*B8)</f>
        <v/>
      </c>
      <c r="AB15" s="72" t="str">
        <f>IF(OR(NOT(F8),(COLUMN()-3)-(B10+4)&lt;0,(B10+4+B11) - (COLUMN()-2) &lt;0),"",F8*(1-B9)/(B11+1)*B8)</f>
        <v/>
      </c>
      <c r="AC15" s="91"/>
      <c r="AD15" s="91"/>
      <c r="AE15" s="91"/>
      <c r="AF15" s="91"/>
      <c r="AG15" s="91"/>
      <c r="AH15" s="91"/>
      <c r="AI15" s="91"/>
      <c r="AJ15" s="91"/>
      <c r="AV15" s="1">
        <f t="shared" si="3"/>
        <v>0</v>
      </c>
    </row>
    <row r="16" spans="1:48" hidden="1">
      <c r="A16" s="91"/>
      <c r="B16" s="91"/>
      <c r="C16" s="91"/>
      <c r="D16" s="91"/>
      <c r="E16" s="91"/>
      <c r="F16" s="91"/>
      <c r="G16" s="91"/>
      <c r="H16" s="50" t="str">
        <f>IF(OR(NOT(G8),(COLUMN()-3)-(B10+5)&lt;0,(B10+5+B11) - (COLUMN()-2) &lt;0),"",G8*(1-B9)/(B11+1)*B8)</f>
        <v/>
      </c>
      <c r="I16" s="50" t="str">
        <f>IF(OR(NOT(G8),(COLUMN()-3)-(B10+5)&lt;0,(B10+5+B11) - (COLUMN()-2) &lt;0),"",G8*(1-B9)/(B11+1)*B8)</f>
        <v/>
      </c>
      <c r="J16" s="50" t="str">
        <f>IF(OR(NOT(G8),(COLUMN()-3)-(B10+5)&lt;0,(B10+5+B11) - (COLUMN()-2) &lt;0),"",G8*(1-B9)/(B11+1)*B8)</f>
        <v/>
      </c>
      <c r="K16" s="50" t="str">
        <f>IF(OR(NOT(G8),(COLUMN()-3)-(B10+5)&lt;0,(B10+5+B11) - (COLUMN()-2) &lt;0),"",G8*(1-B9)/(B11+1)*B8)</f>
        <v/>
      </c>
      <c r="L16" s="50" t="str">
        <f>IF(OR(NOT(G8),(COLUMN()-3)-(B10+5)&lt;0,(B10+5+B11) - (COLUMN()-2) &lt;0),"",G8*(1-B9)/(B11+1)*B8)</f>
        <v/>
      </c>
      <c r="M16" s="50" t="str">
        <f>IF(OR(NOT(G8),(COLUMN()-3)-(B10+5)&lt;0,(B10+5+B11) - (COLUMN()-2) &lt;0),"",G8*(1-B9)/(B11+1)*B8)</f>
        <v/>
      </c>
      <c r="N16" s="50" t="str">
        <f>IF(OR(NOT(G8),(COLUMN()-3)-(B10+5)&lt;0,(B10+5+B11) - (COLUMN()-2) &lt;0),"",G8*(1-B9)/(B11+1)*B8)</f>
        <v/>
      </c>
      <c r="O16" s="56" t="str">
        <f>IF(OR(NOT(G8),(COLUMN()-3)-(B10+5)&lt;0,(B10+5+B11) - (COLUMN()-2) &lt;0),"",G8*(1-B9)/(B11+1)*B8)</f>
        <v/>
      </c>
      <c r="P16" s="56" t="str">
        <f>IF(OR(NOT(G8),(COLUMN()-3)-(B10+5)&lt;0,(B10+5+B11) - (COLUMN()-2) &lt;0),"",G8*(1-B9)/(B11+1)*B8)</f>
        <v/>
      </c>
      <c r="Q16" s="56" t="str">
        <f>IF(OR(NOT(G8),(COLUMN()-3)-(B10+5)&lt;0,(B10+5+B11) - (COLUMN()-2) &lt;0),"",G8*(1-B9)/(B11+1)*B8)</f>
        <v/>
      </c>
      <c r="R16" s="56" t="str">
        <f>IF(OR(NOT(G8),(COLUMN()-3)-(B10+5)&lt;0,(B10+5+B11) - (COLUMN()-2) &lt;0),"",G8*(1-B9)/(B11+1)*B8)</f>
        <v/>
      </c>
      <c r="S16" s="56" t="str">
        <f>IF(OR(NOT(G8),(COLUMN()-3)-(B10+5)&lt;0,(B10+5+B11) - (COLUMN()-2) &lt;0),"",G8*(1-B9)/(B11+1)*B8)</f>
        <v/>
      </c>
      <c r="T16" s="56" t="str">
        <f>IF(OR(NOT(G8),(COLUMN()-3)-(B10+5)&lt;0,(B10+5+B11) - (COLUMN()-2) &lt;0),"",G8*(1-B9)/(B11+1)*B8)</f>
        <v/>
      </c>
      <c r="U16" s="56" t="str">
        <f>IF(OR(NOT(G8),(COLUMN()-3)-(B10+5)&lt;0,(B10+5+B11) - (COLUMN()-2) &lt;0),"",G8*(1-B9)/(B11+1)*B8)</f>
        <v/>
      </c>
      <c r="V16" s="56" t="str">
        <f>IF(OR(NOT(G8),(COLUMN()-3)-(B10+5)&lt;0,(B10+5+B11) - (COLUMN()-2) &lt;0),"",G8*(1-B9)/(B11+1)*B8)</f>
        <v/>
      </c>
      <c r="W16" s="56" t="str">
        <f>IF(OR(NOT(G8),(COLUMN()-3)-(B10+5)&lt;0,(B10+5+B11) - (COLUMN()-2) &lt;0),"",G8*(1-B9)/(B11+1)*B8)</f>
        <v/>
      </c>
      <c r="X16" s="56" t="str">
        <f>IF(OR(NOT(G8),(COLUMN()-3)-(B10+5)&lt;0,(B10+5+B11) - (COLUMN()-2) &lt;0),"",G8*(1-B9)/(B11+1)*B8)</f>
        <v/>
      </c>
      <c r="Y16" s="56" t="str">
        <f>IF(OR(NOT(G8),(COLUMN()-3)-(B10+5)&lt;0,(B10+5+B11) - (COLUMN()-2) &lt;0),"",G8*(1-B9)/(B11+1)*B8)</f>
        <v/>
      </c>
      <c r="Z16" s="56" t="str">
        <f>IF(OR(NOT(G8),(COLUMN()-3)-(B10+5)&lt;0,(B10+5+B11) - (COLUMN()-2) &lt;0),"",G8*(1-B9)/(B11+1)*B8)</f>
        <v/>
      </c>
      <c r="AA16" s="72" t="str">
        <f>IF(OR(NOT(G8),(COLUMN()-3)-(B10+5)&lt;0,(B10+5+B11) - (COLUMN()-2) &lt;0),"",G8*(1-B9)/(B11+1)*B8)</f>
        <v/>
      </c>
      <c r="AB16" s="72" t="str">
        <f>IF(OR(NOT(G8),(COLUMN()-3)-(B10+5)&lt;0,(B10+5+B11) - (COLUMN()-2) &lt;0),"",G8*(1-B9)/(B11+1)*B8)</f>
        <v/>
      </c>
      <c r="AC16" s="72" t="str">
        <f>IF(OR(NOT(G8),(COLUMN()-3)-(B10+5)&lt;0,(B10+5+B11) - (COLUMN()-2) &lt;0),"",G8*(1-B9)/(B11+1)*B8)</f>
        <v/>
      </c>
      <c r="AD16" s="91"/>
      <c r="AE16" s="91"/>
      <c r="AF16" s="91"/>
      <c r="AG16" s="91"/>
      <c r="AH16" s="91"/>
      <c r="AI16" s="91"/>
      <c r="AJ16" s="91"/>
      <c r="AV16" s="1">
        <f t="shared" si="3"/>
        <v>0</v>
      </c>
    </row>
    <row r="17" spans="1:48" hidden="1">
      <c r="A17" s="91"/>
      <c r="B17" s="91"/>
      <c r="C17" s="91"/>
      <c r="D17" s="91"/>
      <c r="E17" s="91"/>
      <c r="F17" s="91"/>
      <c r="G17" s="91"/>
      <c r="H17" s="91"/>
      <c r="I17" s="50" t="str">
        <f>IF(OR(NOT(H8),(COLUMN()-3)-(B10+6)&lt;0,(B10+6+B11) - (COLUMN()-2) &lt;0),"",H8*(1-B9)/(B11+1)*B8)</f>
        <v/>
      </c>
      <c r="J17" s="50" t="str">
        <f>IF(OR(NOT(H8),(COLUMN()-3)-(B10+6)&lt;0,(B10+6+B11) - (COLUMN()-2) &lt;0),"",H8*(1-B9)/(B11+1)*B8)</f>
        <v/>
      </c>
      <c r="K17" s="50" t="str">
        <f>IF(OR(NOT(H8),(COLUMN()-3)-(B10+6)&lt;0,(B10+6+B11) - (COLUMN()-2) &lt;0),"",H8*(1-B9)/(B11+1)*B8)</f>
        <v/>
      </c>
      <c r="L17" s="50" t="str">
        <f>IF(OR(NOT(H8),(COLUMN()-3)-(B10+6)&lt;0,(B10+6+B11) - (COLUMN()-2) &lt;0),"",H8*(1-B9)/(B11+1)*B8)</f>
        <v/>
      </c>
      <c r="M17" s="50" t="str">
        <f>IF(OR(NOT(H8),(COLUMN()-3)-(B10+6)&lt;0,(B10+6+B11) - (COLUMN()-2) &lt;0),"",H8*(1-B9)/(B11+1)*B8)</f>
        <v/>
      </c>
      <c r="N17" s="50" t="str">
        <f>IF(OR(NOT(H8),(COLUMN()-3)-(B10+6)&lt;0,(B10+6+B11) - (COLUMN()-2) &lt;0),"",H8*(1-B9)/(B11+1)*B8)</f>
        <v/>
      </c>
      <c r="O17" s="56" t="str">
        <f>IF(OR(NOT(H8),(COLUMN()-3)-(B10+6)&lt;0,(B10+6+B11) - (COLUMN()-2) &lt;0),"",H8*(1-B9)/(B11+1)*B8)</f>
        <v/>
      </c>
      <c r="P17" s="56" t="str">
        <f>IF(OR(NOT(H8),(COLUMN()-3)-(B10+6)&lt;0,(B10+6+B11) - (COLUMN()-2) &lt;0),"",H8*(1-B9)/(B11+1)*B8)</f>
        <v/>
      </c>
      <c r="Q17" s="56" t="str">
        <f>IF(OR(NOT(H8),(COLUMN()-3)-(B10+6)&lt;0,(B10+6+B11) - (COLUMN()-2) &lt;0),"",H8*(1-B9)/(B11+1)*B8)</f>
        <v/>
      </c>
      <c r="R17" s="56" t="str">
        <f>IF(OR(NOT(H8),(COLUMN()-3)-(B10+6)&lt;0,(B10+6+B11) - (COLUMN()-2) &lt;0),"",H8*(1-B9)/(B11+1)*B8)</f>
        <v/>
      </c>
      <c r="S17" s="56" t="str">
        <f>IF(OR(NOT(H8),(COLUMN()-3)-(B10+6)&lt;0,(B10+6+B11) - (COLUMN()-2) &lt;0),"",H8*(1-B9)/(B11+1)*B8)</f>
        <v/>
      </c>
      <c r="T17" s="56" t="str">
        <f>IF(OR(NOT(H8),(COLUMN()-3)-(B10+6)&lt;0,(B10+6+B11) - (COLUMN()-2) &lt;0),"",H8*(1-B9)/(B11+1)*B8)</f>
        <v/>
      </c>
      <c r="U17" s="56" t="str">
        <f>IF(OR(NOT(H8),(COLUMN()-3)-(B10+6)&lt;0,(B10+6+B11) - (COLUMN()-2) &lt;0),"",H8*(1-B9)/(B11+1)*B8)</f>
        <v/>
      </c>
      <c r="V17" s="56" t="str">
        <f>IF(OR(NOT(H8),(COLUMN()-3)-(B10+6)&lt;0,(B10+6+B11) - (COLUMN()-2) &lt;0),"",H8*(1-B9)/(B11+1)*B8)</f>
        <v/>
      </c>
      <c r="W17" s="56" t="str">
        <f>IF(OR(NOT(H8),(COLUMN()-3)-(B10+6)&lt;0,(B10+6+B11) - (COLUMN()-2) &lt;0),"",H8*(1-B9)/(B11+1)*B8)</f>
        <v/>
      </c>
      <c r="X17" s="56" t="str">
        <f>IF(OR(NOT(H8),(COLUMN()-3)-(B10+6)&lt;0,(B10+6+B11) - (COLUMN()-2) &lt;0),"",H8*(1-B9)/(B11+1)*B8)</f>
        <v/>
      </c>
      <c r="Y17" s="56" t="str">
        <f>IF(OR(NOT(H8),(COLUMN()-3)-(B10+6)&lt;0,(B10+6+B11) - (COLUMN()-2) &lt;0),"",H8*(1-B9)/(B11+1)*B8)</f>
        <v/>
      </c>
      <c r="Z17" s="56" t="str">
        <f>IF(OR(NOT(H8),(COLUMN()-3)-(B10+6)&lt;0,(B10+6+B11) - (COLUMN()-2) &lt;0),"",H8*(1-B9)/(B11+1)*B8)</f>
        <v/>
      </c>
      <c r="AA17" s="72" t="str">
        <f>IF(OR(NOT(H8),(COLUMN()-3)-(B10+6)&lt;0,(B10+6+B11) - (COLUMN()-2) &lt;0),"",H8*(1-B9)/(B11+1)*B8)</f>
        <v/>
      </c>
      <c r="AB17" s="72" t="str">
        <f>IF(OR(NOT(H8),(COLUMN()-3)-(B10+6)&lt;0,(B10+6+B11) - (COLUMN()-2) &lt;0),"",H8*(1-B9)/(B11+1)*B8)</f>
        <v/>
      </c>
      <c r="AC17" s="72" t="str">
        <f>IF(OR(NOT(H8),(COLUMN()-3)-(B10+6)&lt;0,(B10+6+B11) - (COLUMN()-2) &lt;0),"",H8*(1-B9)/(B11+1)*B8)</f>
        <v/>
      </c>
      <c r="AD17" s="72" t="str">
        <f>IF(OR(NOT(H8),(COLUMN()-3)-(B10+6)&lt;0,(B10+6+B11) - (COLUMN()-2) &lt;0),"",H8*(1-B9)/(B11+1)*B8)</f>
        <v/>
      </c>
      <c r="AE17" s="91"/>
      <c r="AF17" s="91"/>
      <c r="AG17" s="91"/>
      <c r="AH17" s="91"/>
      <c r="AI17" s="91"/>
      <c r="AJ17" s="91"/>
      <c r="AV17" s="1">
        <f t="shared" si="3"/>
        <v>0</v>
      </c>
    </row>
    <row r="18" spans="1:48" hidden="1">
      <c r="A18" s="91"/>
      <c r="B18" s="91"/>
      <c r="C18" s="91"/>
      <c r="D18" s="91"/>
      <c r="E18" s="91"/>
      <c r="F18" s="91"/>
      <c r="G18" s="91"/>
      <c r="H18" s="91"/>
      <c r="I18" s="91"/>
      <c r="J18" s="50" t="str">
        <f>IF(OR(NOT(I8),(COLUMN()-3)-(B10+7)&lt;0,(B10+7+B11) - (COLUMN()-2) &lt;0),"",I8*(1-B9)/(B11+1)*B8)</f>
        <v/>
      </c>
      <c r="K18" s="50" t="str">
        <f>IF(OR(NOT(I8),(COLUMN()-3)-(B10+7)&lt;0,(B10+7+B11) - (COLUMN()-2) &lt;0),"",I8*(1-B9)/(B11+1)*B8)</f>
        <v/>
      </c>
      <c r="L18" s="50" t="str">
        <f>IF(OR(NOT(I8),(COLUMN()-3)-(B10+7)&lt;0,(B10+7+B11) - (COLUMN()-2) &lt;0),"",I8*(1-B9)/(B11+1)*B8)</f>
        <v/>
      </c>
      <c r="M18" s="50" t="str">
        <f>IF(OR(NOT(I8),(COLUMN()-3)-(B10+7)&lt;0,(B10+7+B11) - (COLUMN()-2) &lt;0),"",I8*(1-B9)/(B11+1)*B8)</f>
        <v/>
      </c>
      <c r="N18" s="50" t="str">
        <f>IF(OR(NOT(I8),(COLUMN()-3)-(B10+7)&lt;0,(B10+7+B11) - (COLUMN()-2) &lt;0),"",I8*(1-B9)/(B11+1)*B8)</f>
        <v/>
      </c>
      <c r="O18" s="56" t="str">
        <f>IF(OR(NOT(I8),(COLUMN()-3)-(B10+7)&lt;0,(B10+7+B11) - (COLUMN()-2) &lt;0),"",I8*(1-B9)/(B11+1)*B8)</f>
        <v/>
      </c>
      <c r="P18" s="56" t="str">
        <f>IF(OR(NOT(I8),(COLUMN()-3)-(B10+7)&lt;0,(B10+7+B11) - (COLUMN()-2) &lt;0),"",I8*(1-B9)/(B11+1)*B8)</f>
        <v/>
      </c>
      <c r="Q18" s="56" t="str">
        <f>IF(OR(NOT(I8),(COLUMN()-3)-(B10+7)&lt;0,(B10+7+B11) - (COLUMN()-2) &lt;0),"",I8*(1-B9)/(B11+1)*B8)</f>
        <v/>
      </c>
      <c r="R18" s="56" t="str">
        <f>IF(OR(NOT(I8),(COLUMN()-3)-(B10+7)&lt;0,(B10+7+B11) - (COLUMN()-2) &lt;0),"",I8*(1-B9)/(B11+1)*B8)</f>
        <v/>
      </c>
      <c r="S18" s="56" t="str">
        <f>IF(OR(NOT(I8),(COLUMN()-3)-(B10+7)&lt;0,(B10+7+B11) - (COLUMN()-2) &lt;0),"",I8*(1-B9)/(B11+1)*B8)</f>
        <v/>
      </c>
      <c r="T18" s="56" t="str">
        <f>IF(OR(NOT(I8),(COLUMN()-3)-(B10+7)&lt;0,(B10+7+B11) - (COLUMN()-2) &lt;0),"",I8*(1-B9)/(B11+1)*B8)</f>
        <v/>
      </c>
      <c r="U18" s="56" t="str">
        <f>IF(OR(NOT(I8),(COLUMN()-3)-(B10+7)&lt;0,(B10+7+B11) - (COLUMN()-2) &lt;0),"",I8*(1-B9)/(B11+1)*B8)</f>
        <v/>
      </c>
      <c r="V18" s="56" t="str">
        <f>IF(OR(NOT(I8),(COLUMN()-3)-(B10+7)&lt;0,(B10+7+B11) - (COLUMN()-2) &lt;0),"",I8*(1-B9)/(B11+1)*B8)</f>
        <v/>
      </c>
      <c r="W18" s="56" t="str">
        <f>IF(OR(NOT(I8),(COLUMN()-3)-(B10+7)&lt;0,(B10+7+B11) - (COLUMN()-2) &lt;0),"",I8*(1-B9)/(B11+1)*B8)</f>
        <v/>
      </c>
      <c r="X18" s="56" t="str">
        <f>IF(OR(NOT(I8),(COLUMN()-3)-(B10+7)&lt;0,(B10+7+B11) - (COLUMN()-2) &lt;0),"",I8*(1-B9)/(B11+1)*B8)</f>
        <v/>
      </c>
      <c r="Y18" s="56" t="str">
        <f>IF(OR(NOT(I8),(COLUMN()-3)-(B10+7)&lt;0,(B10+7+B11) - (COLUMN()-2) &lt;0),"",I8*(1-B9)/(B11+1)*B8)</f>
        <v/>
      </c>
      <c r="Z18" s="56" t="str">
        <f>IF(OR(NOT(I8),(COLUMN()-3)-(B10+7)&lt;0,(B10+7+B11) - (COLUMN()-2) &lt;0),"",I8*(1-B9)/(B11+1)*B8)</f>
        <v/>
      </c>
      <c r="AA18" s="72" t="str">
        <f>IF(OR(NOT(I8),(COLUMN()-3)-(B10+7)&lt;0,(B10+7+B11) - (COLUMN()-2) &lt;0),"",I8*(1-B9)/(B11+1)*B8)</f>
        <v/>
      </c>
      <c r="AB18" s="72" t="str">
        <f>IF(OR(NOT(I8),(COLUMN()-3)-(B10+7)&lt;0,(B10+7+B11) - (COLUMN()-2) &lt;0),"",I8*(1-B9)/(B11+1)*B8)</f>
        <v/>
      </c>
      <c r="AC18" s="72" t="str">
        <f>IF(OR(NOT(I8),(COLUMN()-3)-(B10+7)&lt;0,(B10+7+B11) - (COLUMN()-2) &lt;0),"",I8*(1-B9)/(B11+1)*B8)</f>
        <v/>
      </c>
      <c r="AD18" s="72" t="str">
        <f>IF(OR(NOT(I8),(COLUMN()-3)-(B10+7)&lt;0,(B10+7+B11) - (COLUMN()-2) &lt;0),"",I8*(1-B9)/(B11+1)*B8)</f>
        <v/>
      </c>
      <c r="AE18" s="72" t="str">
        <f>IF(OR(NOT(I8),(COLUMN()-3)-(B10+7)&lt;0,(B10+7+B11) - (COLUMN()-2) &lt;0),"",I8*(1-B9)/(B11+1)*B8)</f>
        <v/>
      </c>
      <c r="AF18" s="91"/>
      <c r="AG18" s="91"/>
      <c r="AH18" s="91"/>
      <c r="AI18" s="91"/>
      <c r="AJ18" s="91"/>
      <c r="AV18" s="1">
        <f t="shared" si="3"/>
        <v>0</v>
      </c>
    </row>
    <row r="19" spans="1:48" hidden="1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50" t="str">
        <f>IF(OR(NOT(J8),(COLUMN()-3)-(B10+8)&lt;0,(B10+8+B11) - (COLUMN()-2) &lt;0),"",J8*(1-B9)/(B11+1)*B8)</f>
        <v/>
      </c>
      <c r="L19" s="50" t="str">
        <f>IF(OR(NOT(J8),(COLUMN()-3)-(B10+8)&lt;0,(B10+8+B11) - (COLUMN()-2) &lt;0),"",J8*(1-B9)/(B11+1)*B8)</f>
        <v/>
      </c>
      <c r="M19" s="50" t="str">
        <f>IF(OR(NOT(J8),(COLUMN()-3)-(B10+8)&lt;0,(B10+8+B11) - (COLUMN()-2) &lt;0),"",J8*(1-B9)/(B11+1)*B8)</f>
        <v/>
      </c>
      <c r="N19" s="50" t="str">
        <f>IF(OR(NOT(J8),(COLUMN()-3)-(B10+8)&lt;0,(B10+8+B11) - (COLUMN()-2) &lt;0),"",J8*(1-B9)/(B11+1)*B8)</f>
        <v/>
      </c>
      <c r="O19" s="56" t="str">
        <f>IF(OR(NOT(J8),(COLUMN()-3)-(B10+8)&lt;0,(B10+8+B11) - (COLUMN()-2) &lt;0),"",J8*(1-B9)/(B11+1)*B8)</f>
        <v/>
      </c>
      <c r="P19" s="56" t="str">
        <f>IF(OR(NOT(J8),(COLUMN()-3)-(B10+8)&lt;0,(B10+8+B11) - (COLUMN()-2) &lt;0),"",J8*(1-B9)/(B11+1)*B8)</f>
        <v/>
      </c>
      <c r="Q19" s="56" t="str">
        <f>IF(OR(NOT(J8),(COLUMN()-3)-(B10+8)&lt;0,(B10+8+B11) - (COLUMN()-2) &lt;0),"",J8*(1-B9)/(B11+1)*B8)</f>
        <v/>
      </c>
      <c r="R19" s="56" t="str">
        <f>IF(OR(NOT(J8),(COLUMN()-3)-(B10+8)&lt;0,(B10+8+B11) - (COLUMN()-2) &lt;0),"",J8*(1-B9)/(B11+1)*B8)</f>
        <v/>
      </c>
      <c r="S19" s="56" t="str">
        <f>IF(OR(NOT(J8),(COLUMN()-3)-(B10+8)&lt;0,(B10+8+B11) - (COLUMN()-2) &lt;0),"",J8*(1-B9)/(B11+1)*B8)</f>
        <v/>
      </c>
      <c r="T19" s="56" t="str">
        <f>IF(OR(NOT(J8),(COLUMN()-3)-(B10+8)&lt;0,(B10+8+B11) - (COLUMN()-2) &lt;0),"",J8*(1-B9)/(B11+1)*B8)</f>
        <v/>
      </c>
      <c r="U19" s="56" t="str">
        <f>IF(OR(NOT(J8),(COLUMN()-3)-(B10+8)&lt;0,(B10+8+B11) - (COLUMN()-2) &lt;0),"",J8*(1-B9)/(B11+1)*B8)</f>
        <v/>
      </c>
      <c r="V19" s="56" t="str">
        <f>IF(OR(NOT(J8),(COLUMN()-3)-(B10+8)&lt;0,(B10+8+B11) - (COLUMN()-2) &lt;0),"",J8*(1-B9)/(B11+1)*B8)</f>
        <v/>
      </c>
      <c r="W19" s="56" t="str">
        <f>IF(OR(NOT(J8),(COLUMN()-3)-(B10+8)&lt;0,(B10+8+B11) - (COLUMN()-2) &lt;0),"",J8*(1-B9)/(B11+1)*B8)</f>
        <v/>
      </c>
      <c r="X19" s="56" t="str">
        <f>IF(OR(NOT(J8),(COLUMN()-3)-(B10+8)&lt;0,(B10+8+B11) - (COLUMN()-2) &lt;0),"",J8*(1-B9)/(B11+1)*B8)</f>
        <v/>
      </c>
      <c r="Y19" s="56" t="str">
        <f>IF(OR(NOT(J8),(COLUMN()-3)-(B10+8)&lt;0,(B10+8+B11) - (COLUMN()-2) &lt;0),"",J8*(1-B9)/(B11+1)*B8)</f>
        <v/>
      </c>
      <c r="Z19" s="56" t="str">
        <f>IF(OR(NOT(J8),(COLUMN()-3)-(B10+8)&lt;0,(B10+8+B11) - (COLUMN()-2) &lt;0),"",J8*(1-B9)/(B11+1)*B8)</f>
        <v/>
      </c>
      <c r="AA19" s="72" t="str">
        <f>IF(OR(NOT(J8),(COLUMN()-3)-(B10+8)&lt;0,(B10+8+B11) - (COLUMN()-2) &lt;0),"",J8*(1-B9)/(B11+1)*B8)</f>
        <v/>
      </c>
      <c r="AB19" s="72" t="str">
        <f>IF(OR(NOT(J8),(COLUMN()-3)-(B10+8)&lt;0,(B10+8+B11) - (COLUMN()-2) &lt;0),"",J8*(1-B9)/(B11+1)*B8)</f>
        <v/>
      </c>
      <c r="AC19" s="72" t="str">
        <f>IF(OR(NOT(J8),(COLUMN()-3)-(B10+8)&lt;0,(B10+8+B11) - (COLUMN()-2) &lt;0),"",J8*(1-B9)/(B11+1)*B8)</f>
        <v/>
      </c>
      <c r="AD19" s="72" t="str">
        <f>IF(OR(NOT(J8),(COLUMN()-3)-(B10+8)&lt;0,(B10+8+B11) - (COLUMN()-2) &lt;0),"",J8*(1-B9)/(B11+1)*B8)</f>
        <v/>
      </c>
      <c r="AE19" s="72" t="str">
        <f>IF(OR(NOT(J8),(COLUMN()-3)-(B10+8)&lt;0,(B10+8+B11) - (COLUMN()-2) &lt;0),"",J8*(1-B9)/(B11+1)*B8)</f>
        <v/>
      </c>
      <c r="AF19" s="72" t="str">
        <f>IF(OR(NOT(J8),(COLUMN()-3)-(B10+8)&lt;0,(B10+8+B11) - (COLUMN()-2) &lt;0),"",J8*(1-B9)/(B11+1)*B8)</f>
        <v/>
      </c>
      <c r="AG19" s="91"/>
      <c r="AH19" s="91"/>
      <c r="AI19" s="91"/>
      <c r="AJ19" s="91"/>
      <c r="AV19" s="1">
        <f t="shared" si="3"/>
        <v>0</v>
      </c>
    </row>
    <row r="20" spans="1:48" hidden="1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50" t="str">
        <f>IF(OR(NOT(K8),(COLUMN()-3)-(B10+9)&lt;0,(B10+9+B11) - (COLUMN()-2) &lt;0),"",K8*(1-B9)/(B11+1)*B8)</f>
        <v/>
      </c>
      <c r="M20" s="50" t="str">
        <f>IF(OR(NOT(K8),(COLUMN()-3)-(B10+9)&lt;0,(B10+9+B11) - (COLUMN()-2) &lt;0),"",K8*(1-B9)/(B11+1)*B8)</f>
        <v/>
      </c>
      <c r="N20" s="50" t="str">
        <f>IF(OR(NOT(K8),(COLUMN()-3)-(B10+9)&lt;0,(B10+9+B11) - (COLUMN()-2) &lt;0),"",K8*(1-B9)/(B11+1)*B8)</f>
        <v/>
      </c>
      <c r="O20" s="56" t="str">
        <f>IF(OR(NOT(K8),(COLUMN()-3)-(B10+9)&lt;0,(B10+9+B11) - (COLUMN()-2) &lt;0),"",K8*(1-B9)/(B11+1)*B8)</f>
        <v/>
      </c>
      <c r="P20" s="56" t="str">
        <f>IF(OR(NOT(K8),(COLUMN()-3)-(B10+9)&lt;0,(B10+9+B11) - (COLUMN()-2) &lt;0),"",K8*(1-B9)/(B11+1)*B8)</f>
        <v/>
      </c>
      <c r="Q20" s="56" t="str">
        <f>IF(OR(NOT(K8),(COLUMN()-3)-(B10+9)&lt;0,(B10+9+B11) - (COLUMN()-2) &lt;0),"",K8*(1-B9)/(B11+1)*B8)</f>
        <v/>
      </c>
      <c r="R20" s="56" t="str">
        <f>IF(OR(NOT(K8),(COLUMN()-3)-(B10+9)&lt;0,(B10+9+B11) - (COLUMN()-2) &lt;0),"",K8*(1-B9)/(B11+1)*B8)</f>
        <v/>
      </c>
      <c r="S20" s="56" t="str">
        <f>IF(OR(NOT(K8),(COLUMN()-3)-(B10+9)&lt;0,(B10+9+B11) - (COLUMN()-2) &lt;0),"",K8*(1-B9)/(B11+1)*B8)</f>
        <v/>
      </c>
      <c r="T20" s="56" t="str">
        <f>IF(OR(NOT(K8),(COLUMN()-3)-(B10+9)&lt;0,(B10+9+B11) - (COLUMN()-2) &lt;0),"",K8*(1-B9)/(B11+1)*B8)</f>
        <v/>
      </c>
      <c r="U20" s="56" t="str">
        <f>IF(OR(NOT(K8),(COLUMN()-3)-(B10+9)&lt;0,(B10+9+B11) - (COLUMN()-2) &lt;0),"",K8*(1-B9)/(B11+1)*B8)</f>
        <v/>
      </c>
      <c r="V20" s="56" t="str">
        <f>IF(OR(NOT(K8),(COLUMN()-3)-(B10+9)&lt;0,(B10+9+B11) - (COLUMN()-2) &lt;0),"",K8*(1-B9)/(B11+1)*B8)</f>
        <v/>
      </c>
      <c r="W20" s="56" t="str">
        <f>IF(OR(NOT(K8),(COLUMN()-3)-(B10+9)&lt;0,(B10+9+B11) - (COLUMN()-2) &lt;0),"",K8*(1-B9)/(B11+1)*B8)</f>
        <v/>
      </c>
      <c r="X20" s="56" t="str">
        <f>IF(OR(NOT(K8),(COLUMN()-3)-(B10+9)&lt;0,(B10+9+B11) - (COLUMN()-2) &lt;0),"",K8*(1-B9)/(B11+1)*B8)</f>
        <v/>
      </c>
      <c r="Y20" s="56" t="str">
        <f>IF(OR(NOT(K8),(COLUMN()-3)-(B10+9)&lt;0,(B10+9+B11) - (COLUMN()-2) &lt;0),"",K8*(1-B9)/(B11+1)*B8)</f>
        <v/>
      </c>
      <c r="Z20" s="56" t="str">
        <f>IF(OR(NOT(K8),(COLUMN()-3)-(B10+9)&lt;0,(B10+9+B11) - (COLUMN()-2) &lt;0),"",K8*(1-B9)/(B11+1)*B8)</f>
        <v/>
      </c>
      <c r="AA20" s="72" t="str">
        <f>IF(OR(NOT(K8),(COLUMN()-3)-(B10+9)&lt;0,(B10+9+B11) - (COLUMN()-2) &lt;0),"",K8*(1-B9)/(B11+1)*B8)</f>
        <v/>
      </c>
      <c r="AB20" s="72" t="str">
        <f>IF(OR(NOT(K8),(COLUMN()-3)-(B10+9)&lt;0,(B10+9+B11) - (COLUMN()-2) &lt;0),"",K8*(1-B9)/(B11+1)*B8)</f>
        <v/>
      </c>
      <c r="AC20" s="72" t="str">
        <f>IF(OR(NOT(K8),(COLUMN()-3)-(B10+9)&lt;0,(B10+9+B11) - (COLUMN()-2) &lt;0),"",K8*(1-B9)/(B11+1)*B8)</f>
        <v/>
      </c>
      <c r="AD20" s="72" t="str">
        <f>IF(OR(NOT(K8),(COLUMN()-3)-(B10+9)&lt;0,(B10+9+B11) - (COLUMN()-2) &lt;0),"",K8*(1-B9)/(B11+1)*B8)</f>
        <v/>
      </c>
      <c r="AE20" s="72" t="str">
        <f>IF(OR(NOT(K8),(COLUMN()-3)-(B10+9)&lt;0,(B10+9+B11) - (COLUMN()-2) &lt;0),"",K8*(1-B9)/(B11+1)*B8)</f>
        <v/>
      </c>
      <c r="AF20" s="72" t="str">
        <f>IF(OR(NOT(K8),(COLUMN()-3)-(B10+9)&lt;0,(B10+9+B11) - (COLUMN()-2) &lt;0),"",K8*(1-B9)/(B11+1)*B8)</f>
        <v/>
      </c>
      <c r="AG20" s="72" t="str">
        <f>IF(OR(NOT(K8),(COLUMN()-3)-(B10+9)&lt;0,(B10+9+B11) - (COLUMN()-2) &lt;0),"",K8*(1-B9)/(B11+1)*B8)</f>
        <v/>
      </c>
      <c r="AH20" s="91"/>
      <c r="AI20" s="91"/>
      <c r="AJ20" s="91"/>
      <c r="AV20" s="1">
        <f t="shared" si="3"/>
        <v>0</v>
      </c>
    </row>
    <row r="21" spans="1:48" hidden="1">
      <c r="A21" s="91"/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50" t="str">
        <f>IF(OR(NOT(L8),(COLUMN()-3)-(B10+10)&lt;0,(B10+10+B11) - (COLUMN()-2) &lt;0),"",L8*(1-B9)/(B11+1)*B8)</f>
        <v/>
      </c>
      <c r="N21" s="50" t="str">
        <f>IF(OR(NOT(L8),(COLUMN()-3)-(B10+10)&lt;0,(B10+10+B11) - (COLUMN()-2) &lt;0),"",L8*(1-B9)/(B11+1)*B8)</f>
        <v/>
      </c>
      <c r="O21" s="56" t="str">
        <f>IF(OR(NOT(L8),(COLUMN()-3)-(B10+10)&lt;0,(B10+10+B11) - (COLUMN()-2) &lt;0),"",L8*(1-B9)/(B11+1)*B8)</f>
        <v/>
      </c>
      <c r="P21" s="56" t="str">
        <f>IF(OR(NOT(L8),(COLUMN()-3)-(B10+10)&lt;0,(B10+10+B11) - (COLUMN()-2) &lt;0),"",L8*(1-B9)/(B11+1)*B8)</f>
        <v/>
      </c>
      <c r="Q21" s="56" t="str">
        <f>IF(OR(NOT(L8),(COLUMN()-3)-(B10+10)&lt;0,(B10+10+B11) - (COLUMN()-2) &lt;0),"",L8*(1-B9)/(B11+1)*B8)</f>
        <v/>
      </c>
      <c r="R21" s="56" t="str">
        <f>IF(OR(NOT(L8),(COLUMN()-3)-(B10+10)&lt;0,(B10+10+B11) - (COLUMN()-2) &lt;0),"",L8*(1-B9)/(B11+1)*B8)</f>
        <v/>
      </c>
      <c r="S21" s="56" t="str">
        <f>IF(OR(NOT(L8),(COLUMN()-3)-(B10+10)&lt;0,(B10+10+B11) - (COLUMN()-2) &lt;0),"",L8*(1-B9)/(B11+1)*B8)</f>
        <v/>
      </c>
      <c r="T21" s="56" t="str">
        <f>IF(OR(NOT(L8),(COLUMN()-3)-(B10+10)&lt;0,(B10+10+B11) - (COLUMN()-2) &lt;0),"",L8*(1-B9)/(B11+1)*B8)</f>
        <v/>
      </c>
      <c r="U21" s="56" t="str">
        <f>IF(OR(NOT(L8),(COLUMN()-3)-(B10+10)&lt;0,(B10+10+B11) - (COLUMN()-2) &lt;0),"",L8*(1-B9)/(B11+1)*B8)</f>
        <v/>
      </c>
      <c r="V21" s="56" t="str">
        <f>IF(OR(NOT(L8),(COLUMN()-3)-(B10+10)&lt;0,(B10+10+B11) - (COLUMN()-2) &lt;0),"",L8*(1-B9)/(B11+1)*B8)</f>
        <v/>
      </c>
      <c r="W21" s="56" t="str">
        <f>IF(OR(NOT(L8),(COLUMN()-3)-(B10+10)&lt;0,(B10+10+B11) - (COLUMN()-2) &lt;0),"",L8*(1-B9)/(B11+1)*B8)</f>
        <v/>
      </c>
      <c r="X21" s="56" t="str">
        <f>IF(OR(NOT(L8),(COLUMN()-3)-(B10+10)&lt;0,(B10+10+B11) - (COLUMN()-2) &lt;0),"",L8*(1-B9)/(B11+1)*B8)</f>
        <v/>
      </c>
      <c r="Y21" s="56" t="str">
        <f>IF(OR(NOT(L8),(COLUMN()-3)-(B10+10)&lt;0,(B10+10+B11) - (COLUMN()-2) &lt;0),"",L8*(1-B9)/(B11+1)*B8)</f>
        <v/>
      </c>
      <c r="Z21" s="56" t="str">
        <f>IF(OR(NOT(L8),(COLUMN()-3)-(B10+10)&lt;0,(B10+10+B11) - (COLUMN()-2) &lt;0),"",L8*(1-B9)/(B11+1)*B8)</f>
        <v/>
      </c>
      <c r="AA21" s="72" t="str">
        <f>IF(OR(NOT(L8),(COLUMN()-3)-(B10+10)&lt;0,(B10+10+B11) - (COLUMN()-2) &lt;0),"",L8*(1-B9)/(B11+1)*B8)</f>
        <v/>
      </c>
      <c r="AB21" s="72" t="str">
        <f>IF(OR(NOT(L8),(COLUMN()-3)-(B10+10)&lt;0,(B10+10+B11) - (COLUMN()-2) &lt;0),"",L8*(1-B9)/(B11+1)*B8)</f>
        <v/>
      </c>
      <c r="AC21" s="72" t="str">
        <f>IF(OR(NOT(L8),(COLUMN()-3)-(B10+10)&lt;0,(B10+10+B11) - (COLUMN()-2) &lt;0),"",L8*(1-B9)/(B11+1)*B8)</f>
        <v/>
      </c>
      <c r="AD21" s="72" t="str">
        <f>IF(OR(NOT(L8),(COLUMN()-3)-(B10+10)&lt;0,(B10+10+B11) - (COLUMN()-2) &lt;0),"",L8*(1-B9)/(B11+1)*B8)</f>
        <v/>
      </c>
      <c r="AE21" s="72" t="str">
        <f>IF(OR(NOT(L8),(COLUMN()-3)-(B10+10)&lt;0,(B10+10+B11) - (COLUMN()-2) &lt;0),"",L8*(1-B9)/(B11+1)*B8)</f>
        <v/>
      </c>
      <c r="AF21" s="72" t="str">
        <f>IF(OR(NOT(L8),(COLUMN()-3)-(B10+10)&lt;0,(B10+10+B11) - (COLUMN()-2) &lt;0),"",L8*(1-B9)/(B11+1)*B8)</f>
        <v/>
      </c>
      <c r="AG21" s="72" t="str">
        <f>IF(OR(NOT(L8),(COLUMN()-3)-(B10+10)&lt;0,(B10+10+B11) - (COLUMN()-2) &lt;0),"",L8*(1-B9)/(B11+1)*B8)</f>
        <v/>
      </c>
      <c r="AH21" s="72" t="str">
        <f>IF(OR(NOT(L8),(COLUMN()-3)-(B10+10)&lt;0,(B10+10+B11) - (COLUMN()-2) &lt;0),"",L8*(1-B9)/(B11+1)*B8)</f>
        <v/>
      </c>
      <c r="AI21" s="91"/>
      <c r="AJ21" s="91"/>
      <c r="AV21" s="1">
        <f t="shared" si="3"/>
        <v>0</v>
      </c>
    </row>
    <row r="22" spans="1:48" hidden="1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50" t="str">
        <f>IF(OR(NOT(M8),(COLUMN()-3)-(B10+11)&lt;0,(B10+11+B11) - (COLUMN()-2) &lt;0),"",M8*(1-B9)/(B11+1)*B8)</f>
        <v/>
      </c>
      <c r="O22" s="56" t="str">
        <f>IF(OR(NOT(M8),(COLUMN()-3)-(B10+11)&lt;0,(B10+11+B11) - (COLUMN()-2) &lt;0),"",M8*(1-B9)/(B11+1)*B8)</f>
        <v/>
      </c>
      <c r="P22" s="56" t="str">
        <f>IF(OR(NOT(M8),(COLUMN()-3)-(B10+11)&lt;0,(B10+11+B11) - (COLUMN()-2) &lt;0),"",M8*(1-B9)/(B11+1)*B8)</f>
        <v/>
      </c>
      <c r="Q22" s="56" t="str">
        <f>IF(OR(NOT(M8),(COLUMN()-3)-(B10+11)&lt;0,(B10+11+B11) - (COLUMN()-2) &lt;0),"",M8*(1-B9)/(B11+1)*B8)</f>
        <v/>
      </c>
      <c r="R22" s="56" t="str">
        <f>IF(OR(NOT(M8),(COLUMN()-3)-(B10+11)&lt;0,(B10+11+B11) - (COLUMN()-2) &lt;0),"",M8*(1-B9)/(B11+1)*B8)</f>
        <v/>
      </c>
      <c r="S22" s="56" t="str">
        <f>IF(OR(NOT(M8),(COLUMN()-3)-(B10+11)&lt;0,(B10+11+B11) - (COLUMN()-2) &lt;0),"",M8*(1-B9)/(B11+1)*B8)</f>
        <v/>
      </c>
      <c r="T22" s="56" t="str">
        <f>IF(OR(NOT(M8),(COLUMN()-3)-(B10+11)&lt;0,(B10+11+B11) - (COLUMN()-2) &lt;0),"",M8*(1-B9)/(B11+1)*B8)</f>
        <v/>
      </c>
      <c r="U22" s="56" t="str">
        <f>IF(OR(NOT(M8),(COLUMN()-3)-(B10+11)&lt;0,(B10+11+B11) - (COLUMN()-2) &lt;0),"",M8*(1-B9)/(B11+1)*B8)</f>
        <v/>
      </c>
      <c r="V22" s="56" t="str">
        <f>IF(OR(NOT(M8),(COLUMN()-3)-(B10+11)&lt;0,(B10+11+B11) - (COLUMN()-2) &lt;0),"",M8*(1-B9)/(B11+1)*B8)</f>
        <v/>
      </c>
      <c r="W22" s="56" t="str">
        <f>IF(OR(NOT(M8),(COLUMN()-3)-(B10+11)&lt;0,(B10+11+B11) - (COLUMN()-2) &lt;0),"",M8*(1-B9)/(B11+1)*B8)</f>
        <v/>
      </c>
      <c r="X22" s="56" t="str">
        <f>IF(OR(NOT(M8),(COLUMN()-3)-(B10+11)&lt;0,(B10+11+B11) - (COLUMN()-2) &lt;0),"",M8*(1-B9)/(B11+1)*B8)</f>
        <v/>
      </c>
      <c r="Y22" s="56" t="str">
        <f>IF(OR(NOT(M8),(COLUMN()-3)-(B10+11)&lt;0,(B10+11+B11) - (COLUMN()-2) &lt;0),"",M8*(1-B9)/(B11+1)*B8)</f>
        <v/>
      </c>
      <c r="Z22" s="56" t="str">
        <f>IF(OR(NOT(M8),(COLUMN()-3)-(B10+11)&lt;0,(B10+11+B11) - (COLUMN()-2) &lt;0),"",M8*(1-B9)/(B11+1)*B8)</f>
        <v/>
      </c>
      <c r="AA22" s="72" t="str">
        <f>IF(OR(NOT(M8),(COLUMN()-3)-(B10+11)&lt;0,(B10+11+B11) - (COLUMN()-2) &lt;0),"",M8*(1-B9)/(B11+1)*B8)</f>
        <v/>
      </c>
      <c r="AB22" s="72" t="str">
        <f>IF(OR(NOT(M8),(COLUMN()-3)-(B10+11)&lt;0,(B10+11+B11) - (COLUMN()-2) &lt;0),"",M8*(1-B9)/(B11+1)*B8)</f>
        <v/>
      </c>
      <c r="AC22" s="72" t="str">
        <f>IF(OR(NOT(M8),(COLUMN()-3)-(B10+11)&lt;0,(B10+11+B11) - (COLUMN()-2) &lt;0),"",M8*(1-B9)/(B11+1)*B8)</f>
        <v/>
      </c>
      <c r="AD22" s="72" t="str">
        <f>IF(OR(NOT(M8),(COLUMN()-3)-(B10+11)&lt;0,(B10+11+B11) - (COLUMN()-2) &lt;0),"",M8*(1-B9)/(B11+1)*B8)</f>
        <v/>
      </c>
      <c r="AE22" s="72" t="str">
        <f>IF(OR(NOT(M8),(COLUMN()-3)-(B10+11)&lt;0,(B10+11+B11) - (COLUMN()-2) &lt;0),"",M8*(1-B9)/(B11+1)*B8)</f>
        <v/>
      </c>
      <c r="AF22" s="72" t="str">
        <f>IF(OR(NOT(M8),(COLUMN()-3)-(B10+11)&lt;0,(B10+11+B11) - (COLUMN()-2) &lt;0),"",M8*(1-B9)/(B11+1)*B8)</f>
        <v/>
      </c>
      <c r="AG22" s="72" t="str">
        <f>IF(OR(NOT(M8),(COLUMN()-3)-(B10+11)&lt;0,(B10+11+B11) - (COLUMN()-2) &lt;0),"",M8*(1-B9)/(B11+1)*B8)</f>
        <v/>
      </c>
      <c r="AH22" s="72" t="str">
        <f>IF(OR(NOT(M8),(COLUMN()-3)-(B10+11)&lt;0,(B10+11+B11) - (COLUMN()-2) &lt;0),"",M8*(1-B9)/(B11+1)*B8)</f>
        <v/>
      </c>
      <c r="AI22" s="72" t="str">
        <f>IF(OR(NOT(M8),(COLUMN()-3)-(B10+11)&lt;0,(B10+11+B11) - (COLUMN()-2) &lt;0),"",M8*(1-B9)/(B11+1)*B8)</f>
        <v/>
      </c>
      <c r="AJ22" s="91"/>
      <c r="AV22" s="1">
        <f t="shared" si="3"/>
        <v>0</v>
      </c>
    </row>
    <row r="23" spans="1:48" hidden="1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56" t="str">
        <f>IF(OR(NOT(N8),(COLUMN()-3)-(B10+12)&lt;0,(B10+12+B11) - (COLUMN()-2) &lt;0),"",N8*(1-B9)/(B11+1)*B8)</f>
        <v/>
      </c>
      <c r="P23" s="56" t="str">
        <f>IF(OR(NOT(N8),(COLUMN()-3)-(B10+12)&lt;0,(B10+12+B11) - (COLUMN()-2) &lt;0),"",N8*(1-B9)/(B11+1)*B8)</f>
        <v/>
      </c>
      <c r="Q23" s="56" t="str">
        <f>IF(OR(NOT(N8),(COLUMN()-3)-(B10+12)&lt;0,(B10+12+B11) - (COLUMN()-2) &lt;0),"",N8*(1-B9)/(B11+1)*B8)</f>
        <v/>
      </c>
      <c r="R23" s="56" t="str">
        <f>IF(OR(NOT(N8),(COLUMN()-3)-(B10+12)&lt;0,(B10+12+B11) - (COLUMN()-2) &lt;0),"",N8*(1-B9)/(B11+1)*B8)</f>
        <v/>
      </c>
      <c r="S23" s="56" t="str">
        <f>IF(OR(NOT(N8),(COLUMN()-3)-(B10+12)&lt;0,(B10+12+B11) - (COLUMN()-2) &lt;0),"",N8*(1-B9)/(B11+1)*B8)</f>
        <v/>
      </c>
      <c r="T23" s="56" t="str">
        <f>IF(OR(NOT(N8),(COLUMN()-3)-(B10+12)&lt;0,(B10+12+B11) - (COLUMN()-2) &lt;0),"",N8*(1-B9)/(B11+1)*B8)</f>
        <v/>
      </c>
      <c r="U23" s="56" t="str">
        <f>IF(OR(NOT(N8),(COLUMN()-3)-(B10+12)&lt;0,(B10+12+B11) - (COLUMN()-2) &lt;0),"",N8*(1-B9)/(B11+1)*B8)</f>
        <v/>
      </c>
      <c r="V23" s="56" t="str">
        <f>IF(OR(NOT(N8),(COLUMN()-3)-(B10+12)&lt;0,(B10+12+B11) - (COLUMN()-2) &lt;0),"",N8*(1-B9)/(B11+1)*B8)</f>
        <v/>
      </c>
      <c r="W23" s="56" t="str">
        <f>IF(OR(NOT(N8),(COLUMN()-3)-(B10+12)&lt;0,(B10+12+B11) - (COLUMN()-2) &lt;0),"",N8*(1-B9)/(B11+1)*B8)</f>
        <v/>
      </c>
      <c r="X23" s="56" t="str">
        <f>IF(OR(NOT(N8),(COLUMN()-3)-(B10+12)&lt;0,(B10+12+B11) - (COLUMN()-2) &lt;0),"",N8*(1-B9)/(B11+1)*B8)</f>
        <v/>
      </c>
      <c r="Y23" s="56" t="str">
        <f>IF(OR(NOT(N8),(COLUMN()-3)-(B10+12)&lt;0,(B10+12+B11) - (COLUMN()-2) &lt;0),"",N8*(1-B9)/(B11+1)*B8)</f>
        <v/>
      </c>
      <c r="Z23" s="56" t="str">
        <f>IF(OR(NOT(N8),(COLUMN()-3)-(B10+12)&lt;0,(B10+12+B11) - (COLUMN()-2) &lt;0),"",N8*(1-B9)/(B11+1)*B8)</f>
        <v/>
      </c>
      <c r="AA23" s="72" t="str">
        <f>IF(OR(NOT(N8),(COLUMN()-3)-(B10+12)&lt;0,(B10+12+B11) - (COLUMN()-2) &lt;0),"",N8*(1-B9)/(B11+1)*B8)</f>
        <v/>
      </c>
      <c r="AB23" s="72" t="str">
        <f>IF(OR(NOT(N8),(COLUMN()-3)-(B10+12)&lt;0,(B10+12+B11) - (COLUMN()-2) &lt;0),"",N8*(1-B9)/(B11+1)*B8)</f>
        <v/>
      </c>
      <c r="AC23" s="72" t="str">
        <f>IF(OR(NOT(N8),(COLUMN()-3)-(B10+12)&lt;0,(B10+12+B11) - (COLUMN()-2) &lt;0),"",N8*(1-B9)/(B11+1)*B8)</f>
        <v/>
      </c>
      <c r="AD23" s="72" t="str">
        <f>IF(OR(NOT(N8),(COLUMN()-3)-(B10+12)&lt;0,(B10+12+B11) - (COLUMN()-2) &lt;0),"",N8*(1-B9)/(B11+1)*B8)</f>
        <v/>
      </c>
      <c r="AE23" s="72" t="str">
        <f>IF(OR(NOT(N8),(COLUMN()-3)-(B10+12)&lt;0,(B10+12+B11) - (COLUMN()-2) &lt;0),"",N8*(1-B9)/(B11+1)*B8)</f>
        <v/>
      </c>
      <c r="AF23" s="72" t="str">
        <f>IF(OR(NOT(N8),(COLUMN()-3)-(B10+12)&lt;0,(B10+12+B11) - (COLUMN()-2) &lt;0),"",N8*(1-B9)/(B11+1)*B8)</f>
        <v/>
      </c>
      <c r="AG23" s="72" t="str">
        <f>IF(OR(NOT(N8),(COLUMN()-3)-(B10+12)&lt;0,(B10+12+B11) - (COLUMN()-2) &lt;0),"",N8*(1-B9)/(B11+1)*B8)</f>
        <v/>
      </c>
      <c r="AH23" s="72" t="str">
        <f>IF(OR(NOT(N8),(COLUMN()-3)-(B10+12)&lt;0,(B10+12+B11) - (COLUMN()-2) &lt;0),"",N8*(1-B9)/(B11+1)*B8)</f>
        <v/>
      </c>
      <c r="AI23" s="72" t="str">
        <f>IF(OR(NOT(N8),(COLUMN()-3)-(B10+12)&lt;0,(B10+12+B11) - (COLUMN()-2) &lt;0),"",N8*(1-B9)/(B11+1)*B8)</f>
        <v/>
      </c>
      <c r="AJ23" s="72" t="str">
        <f>IF(OR(NOT(N8),(COLUMN()-3)-(B10+12)&lt;0,(B10+12+B11) - (COLUMN()-2) &lt;0),"",N8*(1-B9)/(B11+1)*B8)</f>
        <v/>
      </c>
    </row>
    <row r="24" spans="1:48">
      <c r="A24" s="90" t="s">
        <v>85</v>
      </c>
      <c r="B24" s="52"/>
      <c r="C24" s="92" t="str">
        <f>IF(-SUM(C9:C10)*B24,-SUM(C9:C10)*B24,"")</f>
        <v/>
      </c>
      <c r="D24" s="92" t="str">
        <f>IF(-SUM(D9:D11)*B24,-SUM(D9:D11)*B24,"")</f>
        <v/>
      </c>
      <c r="E24" s="92" t="str">
        <f>IF(-SUM(E9:E11)*B24,-SUM(E9:E11)*B24,"")</f>
        <v/>
      </c>
      <c r="F24" s="92" t="str">
        <f>IF(-SUM(F9:F11)*B24,-SUM(F9:F11)*B24,"")</f>
        <v/>
      </c>
      <c r="G24" s="92" t="str">
        <f>IF(-SUM(G9:G11)*B24,-SUM(G9:G11)*B24,"")</f>
        <v/>
      </c>
      <c r="H24" s="92" t="str">
        <f>IF(-SUM(H9:H11)*B24,-SUM(H9:H11)*B24,"")</f>
        <v/>
      </c>
      <c r="I24" s="92" t="str">
        <f>IF(-SUM(I9:I11)*B24,-SUM(I9:I11)*B24,"")</f>
        <v/>
      </c>
      <c r="J24" s="92" t="str">
        <f>IF(-SUM(J9:J11)*B24,-SUM(J9:J11)*B24,"")</f>
        <v/>
      </c>
      <c r="K24" s="92" t="str">
        <f>IF(-SUM(K9:K11)*B24,-SUM(K9:K11)*B24,"")</f>
        <v/>
      </c>
      <c r="L24" s="92" t="str">
        <f>IF(-SUM(L9:L11)*B24,-SUM(L9:L11)*B24,"")</f>
        <v/>
      </c>
      <c r="M24" s="92" t="str">
        <f>IF(-SUM(M9:M11)*B24,-SUM(M9:M11)*B24,"")</f>
        <v/>
      </c>
      <c r="N24" s="92" t="str">
        <f>IF(-SUM(N9:N11)*B24,-SUM(N9:N11)*B24,"")</f>
        <v/>
      </c>
      <c r="O24" s="92" t="str">
        <f>IF(-SUM(O10:O11)*B24,-SUM(O10:O11)*B24,"")</f>
        <v/>
      </c>
      <c r="P24" s="92" t="str">
        <f>IF(-SUM(P10:P11)*B24,-SUM(P10:P11)*B24,"")</f>
        <v/>
      </c>
      <c r="Q24" s="92" t="str">
        <f>IF(-SUM(Q10:Q11)*B24,-SUM(Q10:Q11)*B24,"")</f>
        <v/>
      </c>
      <c r="R24" s="92" t="str">
        <f>IF(-SUM(R10:R11)*B24,-SUM(R10:R11)*B24,"")</f>
        <v/>
      </c>
      <c r="S24" s="92" t="str">
        <f>IF(-SUM(S10:S11)*B24,-SUM(S10:S11)*B24,"")</f>
        <v/>
      </c>
      <c r="T24" s="92" t="str">
        <f>IF(-SUM(T10:T11)*B24,-SUM(T10:T11)*B24,"")</f>
        <v/>
      </c>
      <c r="U24" s="92" t="str">
        <f>IF(-SUM(U10:U11)*B24,-SUM(U10:U11)*B24,"")</f>
        <v/>
      </c>
      <c r="V24" s="92" t="str">
        <f>IF(-SUM(V10:V11)*B24,-SUM(V10:V11)*B24,"")</f>
        <v/>
      </c>
      <c r="W24" s="92" t="str">
        <f>IF(-SUM(W10:W11)*B24,-SUM(W10:W11)*B24,"")</f>
        <v/>
      </c>
      <c r="X24" s="92" t="str">
        <f>IF(-SUM(X10:X11)*B24,-SUM(X10:X11)*B24,"")</f>
        <v/>
      </c>
      <c r="Y24" s="92" t="str">
        <f>IF(-SUM(Y10:Y11)*B24,-SUM(Y10:Y11)*B24,"")</f>
        <v/>
      </c>
      <c r="Z24" s="92" t="str">
        <f>IF(-SUM(Z11)*B24,-Z11*B24,"")</f>
        <v/>
      </c>
      <c r="AA24" s="92" t="str">
        <f>IF(-SUM(AA11),-AA11*B24,"")</f>
        <v/>
      </c>
      <c r="AB24" s="92" t="str">
        <f>IF(-SUM(AB11)*B24,-AB11*B24,"")</f>
        <v/>
      </c>
      <c r="AC24" s="92" t="str">
        <f>IF(-SUM(AC11)*B24,-AC11*B24,"")</f>
        <v/>
      </c>
      <c r="AD24" s="92" t="str">
        <f>IF(-SUM(AD11)*B24,-AD11*B24,"")</f>
        <v/>
      </c>
      <c r="AE24" s="92" t="str">
        <f>IF(-SUM(AE11)*B24,-AE11*B24,"")</f>
        <v/>
      </c>
      <c r="AF24" s="92" t="str">
        <f>IF(-SUM(AF11)*B24,-AF11*B24,"")</f>
        <v/>
      </c>
      <c r="AG24" s="92" t="str">
        <f>IF(-SUM(AG11)*B24,-AG11*B24,"")</f>
        <v/>
      </c>
      <c r="AH24" s="92" t="str">
        <f>IF(-SUM(AH11)*B24,-AH11*B24,"")</f>
        <v/>
      </c>
      <c r="AI24" s="92" t="str">
        <f>IF(-SUM(AI11)*B24,-AI11*B24,"")</f>
        <v/>
      </c>
      <c r="AJ24" s="92" t="str">
        <f>IF(-SUM(AJ11)*B24,-AJ11*B24,"")</f>
        <v/>
      </c>
      <c r="AK24" s="1"/>
    </row>
    <row r="25" spans="1:48" ht="15" thickBot="1">
      <c r="A25" s="90" t="s">
        <v>86</v>
      </c>
      <c r="B25" s="4"/>
      <c r="C25" s="92" t="str">
        <f>IF(-B25*C8,-B25*C8,"")</f>
        <v/>
      </c>
      <c r="D25" s="92" t="str">
        <f>IF(-B25*D8,-B25*D8,"")</f>
        <v/>
      </c>
      <c r="E25" s="92" t="str">
        <f>IF(-B25*E8,-B25*E8,"")</f>
        <v/>
      </c>
      <c r="F25" s="92" t="str">
        <f>IF(-B25*F8,-B25*F8,"")</f>
        <v/>
      </c>
      <c r="G25" s="92" t="str">
        <f>IF(-B25*G8,-B25*G8,"")</f>
        <v/>
      </c>
      <c r="H25" s="92" t="str">
        <f>IF(-B25*H8,-B25*H8,"")</f>
        <v/>
      </c>
      <c r="I25" s="92" t="str">
        <f>IF(-B25*I8,-B25*I8,"")</f>
        <v/>
      </c>
      <c r="J25" s="92" t="str">
        <f>IF(-B25*J8,-B25*J8,"")</f>
        <v/>
      </c>
      <c r="K25" s="92" t="str">
        <f>IF(-B25*K8,-B25*K8,"")</f>
        <v/>
      </c>
      <c r="L25" s="92" t="str">
        <f>IF(-B25*L8,-B25*L8,"")</f>
        <v/>
      </c>
      <c r="M25" s="92" t="str">
        <f>IF(-B25*M8,-B25*M8,"")</f>
        <v/>
      </c>
      <c r="N25" s="92" t="str">
        <f>IF(-B25*N8,-B25*N8,"")</f>
        <v/>
      </c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1"/>
    </row>
    <row r="26" spans="1:48" ht="18.600000000000001" thickBot="1">
      <c r="B26" s="96" t="s">
        <v>87</v>
      </c>
      <c r="C26" s="93">
        <f>SUM(C9:C10)+SUM(C24:C25)</f>
        <v>0</v>
      </c>
      <c r="D26" s="93">
        <f>SUM(D9:D11)+SUM(D24:D25)</f>
        <v>0</v>
      </c>
      <c r="E26" s="93">
        <f t="shared" ref="E26:N26" si="4">SUM(E9:E11)+SUM(E24:E25)</f>
        <v>0</v>
      </c>
      <c r="F26" s="93">
        <f t="shared" si="4"/>
        <v>0</v>
      </c>
      <c r="G26" s="93">
        <f t="shared" si="4"/>
        <v>0</v>
      </c>
      <c r="H26" s="93">
        <f t="shared" si="4"/>
        <v>0</v>
      </c>
      <c r="I26" s="93">
        <f t="shared" si="4"/>
        <v>0</v>
      </c>
      <c r="J26" s="93">
        <f t="shared" si="4"/>
        <v>0</v>
      </c>
      <c r="K26" s="93">
        <f t="shared" si="4"/>
        <v>0</v>
      </c>
      <c r="L26" s="93">
        <f t="shared" si="4"/>
        <v>0</v>
      </c>
      <c r="M26" s="93">
        <f t="shared" si="4"/>
        <v>0</v>
      </c>
      <c r="N26" s="93">
        <f t="shared" si="4"/>
        <v>0</v>
      </c>
      <c r="O26" s="120">
        <f>SUM(O10:O11)+SUM(O24)</f>
        <v>0</v>
      </c>
      <c r="P26" s="120">
        <f t="shared" ref="P26:Y26" si="5">SUM(P10:P11)+SUM(P24)</f>
        <v>0</v>
      </c>
      <c r="Q26" s="120">
        <f t="shared" si="5"/>
        <v>0</v>
      </c>
      <c r="R26" s="120">
        <f t="shared" si="5"/>
        <v>0</v>
      </c>
      <c r="S26" s="120">
        <f t="shared" si="5"/>
        <v>0</v>
      </c>
      <c r="T26" s="120">
        <f t="shared" si="5"/>
        <v>0</v>
      </c>
      <c r="U26" s="120">
        <f t="shared" si="5"/>
        <v>0</v>
      </c>
      <c r="V26" s="120">
        <f t="shared" si="5"/>
        <v>0</v>
      </c>
      <c r="W26" s="120">
        <f t="shared" si="5"/>
        <v>0</v>
      </c>
      <c r="X26" s="120">
        <f t="shared" si="5"/>
        <v>0</v>
      </c>
      <c r="Y26" s="120">
        <f t="shared" si="5"/>
        <v>0</v>
      </c>
      <c r="Z26" s="120">
        <f>SUM(Z11)+SUM(Z24)</f>
        <v>0</v>
      </c>
      <c r="AA26" s="94">
        <f t="shared" ref="AA26:AJ26" si="6">SUM(AA11)+SUM(AA24)</f>
        <v>0</v>
      </c>
      <c r="AB26" s="94">
        <f t="shared" si="6"/>
        <v>0</v>
      </c>
      <c r="AC26" s="94">
        <f t="shared" si="6"/>
        <v>0</v>
      </c>
      <c r="AD26" s="94">
        <f t="shared" si="6"/>
        <v>0</v>
      </c>
      <c r="AE26" s="94">
        <f t="shared" si="6"/>
        <v>0</v>
      </c>
      <c r="AF26" s="94">
        <f t="shared" si="6"/>
        <v>0</v>
      </c>
      <c r="AG26" s="94">
        <f t="shared" si="6"/>
        <v>0</v>
      </c>
      <c r="AH26" s="94">
        <f t="shared" si="6"/>
        <v>0</v>
      </c>
      <c r="AI26" s="94">
        <f t="shared" si="6"/>
        <v>0</v>
      </c>
      <c r="AJ26" s="94">
        <f t="shared" si="6"/>
        <v>0</v>
      </c>
      <c r="AK26" s="1"/>
    </row>
    <row r="27" spans="1:48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48">
      <c r="A28" s="86" t="str">
        <f>IF('Reverse Engineering Valuation'!A35 = "","    ---    ",'Reverse Engineering Valuation'!A35)</f>
        <v>Kilter Tilter -Therapy Version</v>
      </c>
      <c r="B28" s="87" t="str">
        <f>IF(ROUND(B34,1)&gt;0,CONCATENATE("Under by ",ROUND(B34,1)), IF(ROUND(B34,1)&lt;0, CONCATENATE("OVER BY ",ROUND(B34,1)), "You Matched"))</f>
        <v>Under by 18</v>
      </c>
      <c r="C28" s="85">
        <f>C7</f>
        <v>45292</v>
      </c>
      <c r="D28" s="85">
        <f t="shared" ref="D28:N28" si="7">D7</f>
        <v>45323</v>
      </c>
      <c r="E28" s="85">
        <f t="shared" si="7"/>
        <v>45352</v>
      </c>
      <c r="F28" s="85">
        <f t="shared" si="7"/>
        <v>45383</v>
      </c>
      <c r="G28" s="85">
        <f t="shared" si="7"/>
        <v>45413</v>
      </c>
      <c r="H28" s="85">
        <f t="shared" si="7"/>
        <v>45444</v>
      </c>
      <c r="I28" s="85">
        <f t="shared" si="7"/>
        <v>45474</v>
      </c>
      <c r="J28" s="85">
        <f t="shared" si="7"/>
        <v>45505</v>
      </c>
      <c r="K28" s="85">
        <f t="shared" si="7"/>
        <v>45536</v>
      </c>
      <c r="L28" s="85">
        <f t="shared" si="7"/>
        <v>45566</v>
      </c>
      <c r="M28" s="85">
        <f t="shared" si="7"/>
        <v>45597</v>
      </c>
      <c r="N28" s="85">
        <f t="shared" si="7"/>
        <v>45627</v>
      </c>
      <c r="O28" s="121" t="str">
        <f t="shared" ref="O28:AJ28" si="8" xml:space="preserve">  CONCATENATE("Ext +", COLUMN()-14)</f>
        <v>Ext +1</v>
      </c>
      <c r="P28" s="121" t="str">
        <f t="shared" si="8"/>
        <v>Ext +2</v>
      </c>
      <c r="Q28" s="121" t="str">
        <f t="shared" si="8"/>
        <v>Ext +3</v>
      </c>
      <c r="R28" s="121" t="str">
        <f t="shared" si="8"/>
        <v>Ext +4</v>
      </c>
      <c r="S28" s="121" t="str">
        <f t="shared" si="8"/>
        <v>Ext +5</v>
      </c>
      <c r="T28" s="121" t="str">
        <f t="shared" si="8"/>
        <v>Ext +6</v>
      </c>
      <c r="U28" s="121" t="str">
        <f t="shared" si="8"/>
        <v>Ext +7</v>
      </c>
      <c r="V28" s="121" t="str">
        <f t="shared" si="8"/>
        <v>Ext +8</v>
      </c>
      <c r="W28" s="121" t="str">
        <f t="shared" si="8"/>
        <v>Ext +9</v>
      </c>
      <c r="X28" s="121" t="str">
        <f t="shared" si="8"/>
        <v>Ext +10</v>
      </c>
      <c r="Y28" s="121" t="str">
        <f t="shared" si="8"/>
        <v>Ext +11</v>
      </c>
      <c r="Z28" s="121" t="str">
        <f t="shared" si="8"/>
        <v>Ext +12</v>
      </c>
      <c r="AA28" s="88" t="str">
        <f t="shared" si="8"/>
        <v>Ext +13</v>
      </c>
      <c r="AB28" s="88" t="str">
        <f t="shared" si="8"/>
        <v>Ext +14</v>
      </c>
      <c r="AC28" s="88" t="str">
        <f t="shared" si="8"/>
        <v>Ext +15</v>
      </c>
      <c r="AD28" s="88" t="str">
        <f t="shared" si="8"/>
        <v>Ext +16</v>
      </c>
      <c r="AE28" s="88" t="str">
        <f t="shared" si="8"/>
        <v>Ext +17</v>
      </c>
      <c r="AF28" s="88" t="str">
        <f t="shared" si="8"/>
        <v>Ext +18</v>
      </c>
      <c r="AG28" s="88" t="str">
        <f t="shared" si="8"/>
        <v>Ext +19</v>
      </c>
      <c r="AH28" s="88" t="str">
        <f t="shared" si="8"/>
        <v>Ext +20</v>
      </c>
      <c r="AI28" s="88" t="str">
        <f t="shared" si="8"/>
        <v>Ext +21</v>
      </c>
      <c r="AJ28" s="88" t="str">
        <f t="shared" si="8"/>
        <v>Ext +22</v>
      </c>
    </row>
    <row r="29" spans="1:48">
      <c r="A29" s="90" t="str">
        <f>A8</f>
        <v xml:space="preserve">Number of customers @ </v>
      </c>
      <c r="B29" s="50">
        <f>'Reverse Engineering Valuation'!B35</f>
        <v>3999</v>
      </c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1"/>
      <c r="AL29" s="1"/>
    </row>
    <row r="30" spans="1:48">
      <c r="A30" s="90" t="s">
        <v>80</v>
      </c>
      <c r="B30" s="52"/>
      <c r="C30" s="50" t="str">
        <f>IF(C29*B30*B29,C29*B30*B29,"")</f>
        <v/>
      </c>
      <c r="D30" s="50" t="str">
        <f>IF(D29*B30*B29,D29*B30*B29,"")</f>
        <v/>
      </c>
      <c r="E30" s="50" t="str">
        <f>IF(E29*B30*B29,E29*B30*B29,"")</f>
        <v/>
      </c>
      <c r="F30" s="50" t="str">
        <f>IF(F29*B30*B29,F29*B30*B29,"")</f>
        <v/>
      </c>
      <c r="G30" s="50" t="str">
        <f>IF(G29*B30*B29,G29*B30*B29,"")</f>
        <v/>
      </c>
      <c r="H30" s="50" t="str">
        <f>IF(H29*B30*B29,H29*B30*B29,"")</f>
        <v/>
      </c>
      <c r="I30" s="50" t="str">
        <f>IF(I29*B30*B29,I29*B30*B29,"")</f>
        <v/>
      </c>
      <c r="J30" s="50" t="str">
        <f>IF(J29*B30*B29,J29*B30*B29,"")</f>
        <v/>
      </c>
      <c r="K30" s="50" t="str">
        <f>IF(K29*B30*B29,K29*B30*B29,"")</f>
        <v/>
      </c>
      <c r="L30" s="50" t="str">
        <f>IF(L29*B30*B29,L29*B30*B29,"")</f>
        <v/>
      </c>
      <c r="M30" s="50" t="str">
        <f>IF(M29*B30*B29,M29*B30*B29,"")</f>
        <v/>
      </c>
      <c r="N30" s="50" t="str">
        <f>IF(N29*B30*B29,N29*B30*B29,"")</f>
        <v/>
      </c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1"/>
    </row>
    <row r="31" spans="1:48">
      <c r="A31" s="90" t="s">
        <v>81</v>
      </c>
      <c r="B31" s="53"/>
      <c r="C31" s="50" t="str">
        <f>IF(IF((COLUMN()-2-B31)&gt;0,INDEX(C29:Z29,1, (COLUMN()-2-B31)),0)&gt;=1,(B29* IF((COLUMN()-2-B31)&gt;0,INDEX(C29:Z29,1, (COLUMN()-2-B31)),0)*(1-B30))/(B32+1),"")</f>
        <v/>
      </c>
      <c r="D31" s="50" t="str">
        <f>IF(IF((COLUMN()-2-B31)&gt;0,INDEX(C29:Z29,1, (COLUMN()-2-B31)),0)&gt;=1,(B29* IF((COLUMN()-2-B31)&gt;0,INDEX(C29:Z29,1, (COLUMN()-2-B31)),0)*(1-B30))/(B32+1),"")</f>
        <v/>
      </c>
      <c r="E31" s="50" t="str">
        <f>IF(IF((COLUMN()-2-B31)&gt;0,INDEX(C29:Z29,1, (COLUMN()-2-B31)),0)&gt;=1,(B29* IF((COLUMN()-2-B31)&gt;0,INDEX(C29:Z29,1, (COLUMN()-2-B31)),0)*(1-B30))/(B32+1),"")</f>
        <v/>
      </c>
      <c r="F31" s="50" t="str">
        <f>IF(IF((COLUMN()-2-B31)&gt;0,INDEX(C29:Z29,1, (COLUMN()-2-B31)),0)&gt;=1,(B29* IF((COLUMN()-2-B31)&gt;0,INDEX(C29:Z29,1, (COLUMN()-2-B31)),0)*(1-B30))/(B32+1),"")</f>
        <v/>
      </c>
      <c r="G31" s="50" t="str">
        <f>IF(IF((COLUMN()-2-B31)&gt;0,INDEX(C29:Z29,1, (COLUMN()-2-B31)),0)&gt;=1,(B29* IF((COLUMN()-2-B31)&gt;0,INDEX(C29:Z29,1, (COLUMN()-2-B31)),0)*(1-B30))/(B32+1),"")</f>
        <v/>
      </c>
      <c r="H31" s="50" t="str">
        <f>IF(IF((COLUMN()-2-B31)&gt;0,INDEX(C29:Z29,1, (COLUMN()-2-B31)),0)&gt;=1,(B29* IF((COLUMN()-2-B31)&gt;0,INDEX(C29:Z29,1, (COLUMN()-2-B31)),0)*(1-B30))/(B32+1),"")</f>
        <v/>
      </c>
      <c r="I31" s="50" t="str">
        <f>IF(IF((COLUMN()-2-B31)&gt;0,INDEX(C29:Z29,1, (COLUMN()-2-B31)),0)&gt;=1,(B29* IF((COLUMN()-2-B31)&gt;0,INDEX(C29:Z29,1, (COLUMN()-2-B31)),0)*(1-B30))/(B32+1),"")</f>
        <v/>
      </c>
      <c r="J31" s="50" t="str">
        <f>IF(IF((COLUMN()-2-B31)&gt;0,INDEX(C29:Z29,1, (COLUMN()-2-B31)),0)&gt;=1,(B29* IF((COLUMN()-2-B31)&gt;0,INDEX(C29:Z29,1, (COLUMN()-2-B31)),0)*(1-B30))/(B32+1),"")</f>
        <v/>
      </c>
      <c r="K31" s="50" t="str">
        <f>IF(IF((COLUMN()-2-B31)&gt;0,INDEX(C29:Z29,1, (COLUMN()-2-B31)),0)&gt;=1,(B29* IF((COLUMN()-2-B31)&gt;0,INDEX(C29:Z29,1, (COLUMN()-2-B31)),0)*(1-B30))/(B32+1),"")</f>
        <v/>
      </c>
      <c r="L31" s="50" t="str">
        <f>IF(IF((COLUMN()-2-B31)&gt;0,INDEX(C29:Z29,1, (COLUMN()-2-B31)),0)&gt;=1,(B29* IF((COLUMN()-2-B31)&gt;0,INDEX(C29:Z29,1, (COLUMN()-2-B31)),0)*(1-B30))/(B32+1),"")</f>
        <v/>
      </c>
      <c r="M31" s="50" t="str">
        <f>IF(IF((COLUMN()-2-B31)&gt;0,INDEX(C29:Z29,1, (COLUMN()-2-B31)),0)&gt;=1,(B29* IF((COLUMN()-2-B31)&gt;0,INDEX(C29:Z29,1, (COLUMN()-2-B31)),0)*(1-B30))/(B32+1),"")</f>
        <v/>
      </c>
      <c r="N31" s="50" t="str">
        <f>IF(IF((COLUMN()-2-B31)&gt;0,INDEX(C29:Z29,1, (COLUMN()-2-B31)),0)&gt;=1,(B29* IF((COLUMN()-2-B31)&gt;0,INDEX(C29:Z29,1, (COLUMN()-2-B31)),0)*(1-B30))/(B32+1),"")</f>
        <v/>
      </c>
      <c r="O31" s="56" t="str">
        <f>IF(IF((COLUMN()-2-B31)&gt;0,INDEX(C29:Z29,1, (COLUMN()-2-B31)),0)&gt;=1,(B29* IF((COLUMN()-2-B31)&gt;0,INDEX(C29:Z29,1, (COLUMN()-2-B31)),0)*(1-B30))/(B32+1),"")</f>
        <v/>
      </c>
      <c r="P31" s="56" t="str">
        <f>IF(IF((COLUMN()-2-B31)&gt;0,INDEX(C29:Z29,1, (COLUMN()-2-B31)),0)&gt;=1,(B29* IF((COLUMN()-2-B31)&gt;0,INDEX(C29:Z29,1, (COLUMN()-2-B31)),0)*(1-B30))/(B32+1),"")</f>
        <v/>
      </c>
      <c r="Q31" s="56" t="str">
        <f>IF(IF((COLUMN()-2-B31)&gt;0,INDEX(C29:Z29,1, (COLUMN()-2-B31)),0)&gt;=1,(B29* IF((COLUMN()-2-B31)&gt;0,INDEX(C29:Z29,1, (COLUMN()-2-B31)),0)*(1-B30))/(B32+1),"")</f>
        <v/>
      </c>
      <c r="R31" s="56" t="str">
        <f>IF(IF((COLUMN()-2-B31)&gt;0,INDEX(C29:Z29,1, (COLUMN()-2-B31)),0)&gt;=1,(B29* IF((COLUMN()-2-B31)&gt;0,INDEX(C29:Z29,1, (COLUMN()-2-B31)),0)*(1-B30))/(B32+1),"")</f>
        <v/>
      </c>
      <c r="S31" s="56" t="str">
        <f>IF(IF((COLUMN()-2-B31)&gt;0,INDEX(C29:Z29,1, (COLUMN()-2-B31)),0)&gt;=1,(B29* IF((COLUMN()-2-B31)&gt;0,INDEX(C29:Z29,1, (COLUMN()-2-B31)),0)*(1-B30))/(B32+1),"")</f>
        <v/>
      </c>
      <c r="T31" s="56" t="str">
        <f>IF(IF((COLUMN()-2-B31)&gt;0,INDEX(C29:Z29,1, (COLUMN()-2-B31)),0)&gt;=1,(B29* IF((COLUMN()-2-B31)&gt;0,INDEX(C29:Z29,1, (COLUMN()-2-B31)),0)*(1-B30))/(B32+1),"")</f>
        <v/>
      </c>
      <c r="U31" s="56" t="str">
        <f>IF(IF((COLUMN()-2-B31)&gt;0,INDEX(C29:Z29,1, (COLUMN()-2-B31)),0)&gt;=1,(B29* IF((COLUMN()-2-B31)&gt;0,INDEX(C29:Z29,1, (COLUMN()-2-B31)),0)*(1-B30))/(B32+1),"")</f>
        <v/>
      </c>
      <c r="V31" s="56" t="str">
        <f>IF(IF((COLUMN()-2-B31)&gt;0,INDEX(C29:Z29,1, (COLUMN()-2-B31)),0)&gt;=1,(B29* IF((COLUMN()-2-B31)&gt;0,INDEX(C29:Z29,1, (COLUMN()-2-B31)),0)*(1-B30))/(B32+1),"")</f>
        <v/>
      </c>
      <c r="W31" s="56" t="str">
        <f>IF(IF((COLUMN()-2-B31)&gt;0,INDEX(C29:Z29,1, (COLUMN()-2-B31)),0)&gt;=1,(B29* IF((COLUMN()-2-B31)&gt;0,INDEX(C29:Z29,1, (COLUMN()-2-B31)),0)*(1-B30))/(B32+1),"")</f>
        <v/>
      </c>
      <c r="X31" s="56" t="str">
        <f>IF(IF((COLUMN()-2-B31)&gt;0,INDEX(C29:Z29,1, (COLUMN()-2-B31)),0)&gt;=1,(B29* IF((COLUMN()-2-B31)&gt;0,INDEX(C29:Z29,1, (COLUMN()-2-B31)),0)*(1-B30))/(B32+1),"")</f>
        <v/>
      </c>
      <c r="Y31" s="56" t="str">
        <f>IF(IF((COLUMN()-2-B31)&gt;0,INDEX(C29:Z29,1, (COLUMN()-2-B31)),0)&gt;=1,(B29* IF((COLUMN()-2-B31)&gt;0,INDEX(C29:Z29,1, (COLUMN()-2-B31)),0)*(1-B30))/(B32+1),"")</f>
        <v/>
      </c>
      <c r="Z31" s="91" t="str">
        <f>IF(IF((COLUMN()-2-B31)&gt;0,INDEX(C29:Z29,1, (COLUMN()-2-B31)),0)&gt;=1,(B29* IF((COLUMN()-2-B31)&gt;0,INDEX(C29:Z29,1, (COLUMN()-2-B31)),0)*(1-B30))/(B32+1),"")</f>
        <v/>
      </c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1"/>
    </row>
    <row r="32" spans="1:48">
      <c r="A32" s="90" t="s">
        <v>82</v>
      </c>
      <c r="B32" s="53"/>
      <c r="C32" s="91"/>
      <c r="D32" s="50" t="str">
        <f>IF(SUM(D33),SUM(D33),"")</f>
        <v/>
      </c>
      <c r="E32" s="50" t="str">
        <f>IF(SUM(E33:E34),SUM(E33:E34),"")</f>
        <v/>
      </c>
      <c r="F32" s="50" t="str">
        <f>IF(SUM(F33:F35),SUM(F33:F35),"")</f>
        <v/>
      </c>
      <c r="G32" s="50" t="str">
        <f>IF(SUM(G33:G36),SUM(G33:G36),"")</f>
        <v/>
      </c>
      <c r="H32" s="50" t="str">
        <f>IF(SUM(H33:H37),SUM(H33:H37),"")</f>
        <v/>
      </c>
      <c r="I32" s="50" t="str">
        <f>IF(SUM(I33:I38),SUM(I33:I38),"")</f>
        <v/>
      </c>
      <c r="J32" s="50" t="str">
        <f>IF(SUM(J33:J39),SUM(J33:J39),"")</f>
        <v/>
      </c>
      <c r="K32" s="50" t="str">
        <f>IF(SUM(K33:K40),SUM(K33:K40),"")</f>
        <v/>
      </c>
      <c r="L32" s="50" t="str">
        <f>IF(SUM(L33:L41),SUM(L33:L41),"")</f>
        <v/>
      </c>
      <c r="M32" s="50" t="str">
        <f>IF(SUM(M33:M42),SUM(M33:M42),"")</f>
        <v/>
      </c>
      <c r="N32" s="50" t="str">
        <f>IF(SUM(N33:N43),SUM(N33:N43),"")</f>
        <v/>
      </c>
      <c r="O32" s="56" t="str">
        <f t="shared" ref="O32:Z32" si="9">IF(SUM(O33:O44),SUM(O33:O44),"")</f>
        <v/>
      </c>
      <c r="P32" s="56" t="str">
        <f t="shared" si="9"/>
        <v/>
      </c>
      <c r="Q32" s="56" t="str">
        <f t="shared" si="9"/>
        <v/>
      </c>
      <c r="R32" s="56" t="str">
        <f t="shared" si="9"/>
        <v/>
      </c>
      <c r="S32" s="56" t="str">
        <f t="shared" si="9"/>
        <v/>
      </c>
      <c r="T32" s="56" t="str">
        <f t="shared" si="9"/>
        <v/>
      </c>
      <c r="U32" s="56" t="str">
        <f t="shared" si="9"/>
        <v/>
      </c>
      <c r="V32" s="56" t="str">
        <f t="shared" si="9"/>
        <v/>
      </c>
      <c r="W32" s="56" t="str">
        <f t="shared" si="9"/>
        <v/>
      </c>
      <c r="X32" s="56" t="str">
        <f t="shared" si="9"/>
        <v/>
      </c>
      <c r="Y32" s="56" t="str">
        <f t="shared" si="9"/>
        <v/>
      </c>
      <c r="Z32" s="56" t="str">
        <f t="shared" si="9"/>
        <v/>
      </c>
      <c r="AA32" s="72" t="str">
        <f>IF(SUM(AA35:AA44),SUM(AA35:AA44),"")</f>
        <v/>
      </c>
      <c r="AB32" s="72" t="str">
        <f>IF(SUM(AB36:AB44),SUM(AB36:AB44),"")</f>
        <v/>
      </c>
      <c r="AC32" s="72" t="str">
        <f>IF(SUM(AC37:AC44),SUM(AC37:AC44),"")</f>
        <v/>
      </c>
      <c r="AD32" s="72" t="str">
        <f>IF(SUM(AD38:AD44),SUM(AD38:AD44),"")</f>
        <v/>
      </c>
      <c r="AE32" s="72" t="str">
        <f>IF(SUM(AE39:AE44),SUM(AE39:AE44),"")</f>
        <v/>
      </c>
      <c r="AF32" s="72" t="str">
        <f>IF(SUM(AF40:AF44),SUM(AF40:AF44),"")</f>
        <v/>
      </c>
      <c r="AG32" s="72" t="str">
        <f>IF(SUM(AG41:AG44),SUM(AG41:AG44),"")</f>
        <v/>
      </c>
      <c r="AH32" s="72" t="str">
        <f>IF(SUM(AH42:AH44),SUM(AH42:AH44),"")</f>
        <v/>
      </c>
      <c r="AI32" s="72" t="str">
        <f>IF(SUM(AI43:AI44),SUM(AI43:AI44),"")</f>
        <v/>
      </c>
      <c r="AJ32" s="72" t="str">
        <f>IF(SUM(AJ44),SUM(AJ44),"")</f>
        <v/>
      </c>
      <c r="AK32" s="1"/>
      <c r="AL32" s="1"/>
    </row>
    <row r="33" spans="1:37" hidden="1">
      <c r="A33" s="90" t="s">
        <v>83</v>
      </c>
      <c r="B33" s="51">
        <f>IF('Reverse Engineering Valuation'!F35,'Reverse Engineering Valuation'!H35,'Reverse Engineering Valuation'!E35)</f>
        <v>18</v>
      </c>
      <c r="C33" s="91"/>
      <c r="D33" s="50" t="str">
        <f>IF(OR(NOT(C29),(COLUMN()-3)-(B31+1)&lt;0,(B31+1+B32) - (COLUMN()-2) &lt;0),"",C29*(1-B30)/(B32+1)*B29)</f>
        <v/>
      </c>
      <c r="E33" s="50" t="str">
        <f>IF(OR(NOT(C29),(COLUMN()-3)-(B31+1)&lt;0,(B31+1+B32) - (COLUMN()-2) &lt;0),"",C29*(1-B30)/(B32+1)*B29)</f>
        <v/>
      </c>
      <c r="F33" s="50" t="str">
        <f>IF(OR(NOT(C29),(COLUMN()-3)-(B31+1)&lt;0,(B31+1+B32) - (COLUMN()-2) &lt;0),"",C29*(1-B30)/(B32+1)*B29)</f>
        <v/>
      </c>
      <c r="G33" s="50" t="str">
        <f>IF(OR(NOT(C29),(COLUMN()-3)-(B31+1)&lt;0,(B31+1+B32) - (COLUMN()-2) &lt;0),"",C29*(1-B30)/(B32+1)*B29)</f>
        <v/>
      </c>
      <c r="H33" s="50" t="str">
        <f>IF(OR(NOT(C29),(COLUMN()-3)-(B31+1)&lt;0,(B31+1+B32) - (COLUMN()-2) &lt;0),"",C29*(1-B30)/(B32+1)*B29)</f>
        <v/>
      </c>
      <c r="I33" s="50" t="str">
        <f>IF(OR(NOT(C29),(COLUMN()-3)-(B31+1)&lt;0,(B31+1+B32) - (COLUMN()-2) &lt;0),"",C29*(1-B30)/(B32+1)*B29)</f>
        <v/>
      </c>
      <c r="J33" s="50" t="str">
        <f>IF(OR(NOT(C29),(COLUMN()-3)-(B31+1)&lt;0,(B31+1+B32) - (COLUMN()-2) &lt;0),"",C29*(1-B30)/(B32+1)*B29)</f>
        <v/>
      </c>
      <c r="K33" s="50" t="str">
        <f>IF(OR(NOT(C29),(COLUMN()-3)-(B31+1)&lt;0,(B31+1+B32) - (COLUMN()-2) &lt;0),"",C29*(1-B30)/(B32+1)*B29)</f>
        <v/>
      </c>
      <c r="L33" s="50" t="str">
        <f>IF(OR(NOT(C29),(COLUMN()-3)-(B31+1)&lt;0,(B31+1+B32) - (COLUMN()-2) &lt;0),"",C29*(1-B30)/(B32+1)*B29)</f>
        <v/>
      </c>
      <c r="M33" s="50" t="str">
        <f>IF(OR(NOT(C29),(COLUMN()-3)-(B31+1)&lt;0,(B31+1+B32) - (COLUMN()-2) &lt;0),"",C29*(1-B30)/(B32+1)*B29)</f>
        <v/>
      </c>
      <c r="N33" s="50" t="str">
        <f>IF(OR(NOT(C29),(COLUMN()-3)-(B31+1)&lt;0,(B31+1+B32) - (COLUMN()-2) &lt;0),"",C29*(1-B30)/(B32+1)*B29)</f>
        <v/>
      </c>
      <c r="O33" s="56" t="str">
        <f>IF(OR(NOT(C29),(COLUMN()-3)-(B31+1)&lt;0,(B31+1+B32) - (COLUMN()-2) &lt;0),"",C29*(1-B30)/(B32+1)*B29)</f>
        <v/>
      </c>
      <c r="P33" s="56" t="str">
        <f>IF(OR(NOT(C29),(COLUMN()-3)-(B31+1)&lt;0,(B31+1+B32) - (COLUMN()-2) &lt;0),"",C29*(1-B30)/(B32+1)*B29)</f>
        <v/>
      </c>
      <c r="Q33" s="56" t="str">
        <f>IF(OR(NOT(C29),(COLUMN()-3)-(B31+1)&lt;0,(B31+1+B32) - (COLUMN()-2) &lt;0),"",C29*(1-B30)/(B32+1)*B29)</f>
        <v/>
      </c>
      <c r="R33" s="56" t="str">
        <f>IF(OR(NOT(C29),(COLUMN()-3)-(B31+1)&lt;0,(B31+1+B32) - (COLUMN()-2) &lt;0),"",C29*(1-B30)/(B32+1)*B29)</f>
        <v/>
      </c>
      <c r="S33" s="56" t="str">
        <f>IF(OR(NOT(C29),(COLUMN()-3)-(B31+1)&lt;0,(B31+1+B32) - (COLUMN()-2) &lt;0),"",C29*(1-B30)/(B32+1)*B29)</f>
        <v/>
      </c>
      <c r="T33" s="56" t="str">
        <f>IF(OR(NOT(C29),(COLUMN()-3)-(B31+1)&lt;0,(B31+1+B32) - (COLUMN()-2) &lt;0),"",C29*(1-B30)/(B32+1)*B29)</f>
        <v/>
      </c>
      <c r="U33" s="56" t="str">
        <f>IF(OR(NOT(C29),(COLUMN()-3)-(B31+1)&lt;0,(B31+1+B32) - (COLUMN()-2) &lt;0),"",C29*(1-B30)/(B32+1)*B29)</f>
        <v/>
      </c>
      <c r="V33" s="56" t="str">
        <f>IF(OR(NOT(C29),(COLUMN()-3)-(B31+1)&lt;0,(B31+1+B32) - (COLUMN()-2) &lt;0),"",C29*(1-B30)/(B32+1)*B29)</f>
        <v/>
      </c>
      <c r="W33" s="56" t="str">
        <f>IF(OR(NOT(C29),(COLUMN()-3)-(B31+1)&lt;0,(B31+1+B32) - (COLUMN()-2) &lt;0),"",C29*(1-B30)/(B32+1)*B29)</f>
        <v/>
      </c>
      <c r="X33" s="56" t="str">
        <f>IF(OR(NOT(C29),(COLUMN()-3)-(B31+1)&lt;0,(B31+1+B32) - (COLUMN()-2) &lt;0),"",C29*(1-B30)/(B32+1)*B29)</f>
        <v/>
      </c>
      <c r="Y33" s="56" t="str">
        <f>IF(OR(NOT(C29),(COLUMN()-3)-(B31+1)&lt;0,(B31+1+B32) - (COLUMN()-2) &lt;0),"",C29*(1-B30)/(B32+1)*B29)</f>
        <v/>
      </c>
      <c r="Z33" s="56" t="str">
        <f>IF(OR(NOT(C29),(COLUMN()-3)-(B31+1)&lt;0,(B31+1+B32) - (COLUMN()-2) &lt;0),"",C29*(1-B30)/(B32+1)*B29)</f>
        <v/>
      </c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1"/>
    </row>
    <row r="34" spans="1:37" hidden="1">
      <c r="A34" s="90" t="s">
        <v>84</v>
      </c>
      <c r="B34" s="54">
        <f>B33-SUM(C29:N29)</f>
        <v>18</v>
      </c>
      <c r="C34" s="91"/>
      <c r="D34" s="91"/>
      <c r="E34" s="50" t="str">
        <f>IF(OR(NOT(D29),(COLUMN()-3)-(B31+2)&lt;0,(B31+2 +B32) - (COLUMN()-2) &lt;0),"",D29*(1-B30)/(B32+1)*B29)</f>
        <v/>
      </c>
      <c r="F34" s="50" t="str">
        <f>IF(OR(NOT(D29),(COLUMN()-3)-(B31+2)&lt;0,(B31+2 +B32) - (COLUMN()-2) &lt;0),"",D29*(1-B30)/(B32+1)*B29)</f>
        <v/>
      </c>
      <c r="G34" s="50" t="str">
        <f>IF(OR(NOT(D29),(COLUMN()-3)-(B31+2)&lt;0,(B31+2 +B32) - (COLUMN()-2) &lt;0),"",D29*(1-B30)/(B32+1)*B29)</f>
        <v/>
      </c>
      <c r="H34" s="50" t="str">
        <f>IF(OR(NOT(D29),(COLUMN()-3)-(B31+2)&lt;0,(B31+2 +B32) - (COLUMN()-2) &lt;0),"",D29*(1-B30)/(B32+1)*B29)</f>
        <v/>
      </c>
      <c r="I34" s="50" t="str">
        <f>IF(OR(NOT(D29),(COLUMN()-3)-(B31+2)&lt;0,(B31+2 +B32) - (COLUMN()-2) &lt;0),"",D29*(1-B30)/(B32+1)*B29)</f>
        <v/>
      </c>
      <c r="J34" s="50" t="str">
        <f>IF(OR(NOT(D29),(COLUMN()-3)-(B31+2)&lt;0,(B31+2 +B32) - (COLUMN()-2) &lt;0),"",D29*(1-B30)/(B32+1)*B29)</f>
        <v/>
      </c>
      <c r="K34" s="50" t="str">
        <f>IF(OR(NOT(D29),(COLUMN()-3)-(B31+2)&lt;0,(B31+2 +B32) - (COLUMN()-2) &lt;0),"",D29*(1-B30)/(B32+1)*B29)</f>
        <v/>
      </c>
      <c r="L34" s="50" t="str">
        <f>IF(OR(NOT(D29),(COLUMN()-3)-(B31+2)&lt;0,(B31+2 +B32) - (COLUMN()-2) &lt;0),"",D29*(1-B30)/(B32+1)*B29)</f>
        <v/>
      </c>
      <c r="M34" s="50" t="str">
        <f>IF(OR(NOT(D29),(COLUMN()-3)-(B31+2)&lt;0,(B31+2 +B32) - (COLUMN()-2) &lt;0),"",D29*(1-B30)/(B32+1)*B29)</f>
        <v/>
      </c>
      <c r="N34" s="50" t="str">
        <f>IF(OR(NOT(D29),(COLUMN()-3)-(B31+2)&lt;0,(B31+2 +B32) - (COLUMN()-2) &lt;0),"",D29*(1-B30)/(B32+1)*B29)</f>
        <v/>
      </c>
      <c r="O34" s="56" t="str">
        <f>IF(OR(NOT(D29),(COLUMN()-3)-(B31+2)&lt;0,(B31+2 +B32) - (COLUMN()-2) &lt;0),"",D29*(1-B30)/(B32+1)*B29)</f>
        <v/>
      </c>
      <c r="P34" s="56" t="str">
        <f>IF(OR(NOT(D29),(COLUMN()-3)-(B31+2)&lt;0,(B31+2 +B32) - (COLUMN()-2) &lt;0),"",D29*(1-B30)/(B32+1)*B29)</f>
        <v/>
      </c>
      <c r="Q34" s="56" t="str">
        <f>IF(OR(NOT(D29),(COLUMN()-3)-(B31+2)&lt;0,(B31+2 +B32) - (COLUMN()-2) &lt;0),"",D29*(1-B30)/(B32+1)*B29)</f>
        <v/>
      </c>
      <c r="R34" s="56" t="str">
        <f>IF(OR(NOT(D29),(COLUMN()-3)-(B31+2)&lt;0,(B31+2 +B32) - (COLUMN()-2) &lt;0),"",D29*(1-B30)/(B32+1)*B29)</f>
        <v/>
      </c>
      <c r="S34" s="56" t="str">
        <f>IF(OR(NOT(D29),(COLUMN()-3)-(B31+2)&lt;0,(B31+2 +B32) - (COLUMN()-2) &lt;0),"",D29*(1-B30)/(B32+1)*B29)</f>
        <v/>
      </c>
      <c r="T34" s="56" t="str">
        <f>IF(OR(NOT(D29),(COLUMN()-3)-(B31+2)&lt;0,(B31+2 +B32) - (COLUMN()-2) &lt;0),"",D29*(1-B30)/(B32+1)*B29)</f>
        <v/>
      </c>
      <c r="U34" s="56" t="str">
        <f>IF(OR(NOT(D29),(COLUMN()-3)-(B31+2)&lt;0,(B31+2 +B32) - (COLUMN()-2) &lt;0),"",D29*(1-B30)/(B32+1)*B29)</f>
        <v/>
      </c>
      <c r="V34" s="56" t="str">
        <f>IF(OR(NOT(D29),(COLUMN()-3)-(B31+2)&lt;0,(B31+2 +B32) - (COLUMN()-2) &lt;0),"",D29*(1-B30)/(B32+1)*B29)</f>
        <v/>
      </c>
      <c r="W34" s="56" t="str">
        <f>IF(OR(NOT(D29),(COLUMN()-3)-(B31+2)&lt;0,(B31+2 +B32) - (COLUMN()-2) &lt;0),"",D29*(1-B30)/(B32+1)*B29)</f>
        <v/>
      </c>
      <c r="X34" s="56" t="str">
        <f>IF(OR(NOT(D29),(COLUMN()-3)-(B31+2)&lt;0,(B31+2 +B32) - (COLUMN()-2) &lt;0),"",D29*(1-B30)/(B32+1)*B29)</f>
        <v/>
      </c>
      <c r="Y34" s="56" t="str">
        <f>IF(OR(NOT(D29),(COLUMN()-3)-(B31+2)&lt;0,(B31+2 +B32) - (COLUMN()-2) &lt;0),"",D29*(1-B30)/(B32+1)*B29)</f>
        <v/>
      </c>
      <c r="Z34" s="56" t="str">
        <f>IF(OR(NOT(D29),(COLUMN()-3)-(B31+2)&lt;0,(B31+2 +B32) - (COLUMN()-2) &lt;0),"",D29*(1-B30)/(B32+1)*B29)</f>
        <v/>
      </c>
      <c r="AA34" s="91"/>
      <c r="AB34" s="91"/>
      <c r="AC34" s="91"/>
      <c r="AD34" s="91"/>
      <c r="AE34" s="91"/>
      <c r="AF34" s="91"/>
      <c r="AG34" s="91"/>
      <c r="AH34" s="91"/>
      <c r="AI34" s="91"/>
      <c r="AJ34" s="91"/>
    </row>
    <row r="35" spans="1:37" hidden="1">
      <c r="A35" s="91"/>
      <c r="B35" s="91"/>
      <c r="C35" s="91"/>
      <c r="D35" s="91"/>
      <c r="E35" s="91"/>
      <c r="F35" s="50" t="str">
        <f>IF(OR(NOT(E29),(COLUMN()-3)-(B31+3)&lt;0,(B31+3+B32) - (COLUMN()-2) &lt;0),"",E29*(1-B30)/(B32+1)*B29)</f>
        <v/>
      </c>
      <c r="G35" s="50" t="str">
        <f>IF(OR(NOT(E29),(COLUMN()-3)-(B31+3)&lt;0,(B31+3+B32) - (COLUMN()-2) &lt;0),"",E29*(1-B30)/(B32+1)*B29)</f>
        <v/>
      </c>
      <c r="H35" s="50" t="str">
        <f>IF(OR(NOT(E29),(COLUMN()-3)-(B31+3)&lt;0,(B31+3+B32) - (COLUMN()-2) &lt;0),"",E29*(1-B30)/(B32+1)*B29)</f>
        <v/>
      </c>
      <c r="I35" s="50" t="str">
        <f>IF(OR(NOT(E29),(COLUMN()-3)-(B31+3)&lt;0,(B31+3+B32) - (COLUMN()-2) &lt;0),"",E29*(1-B30)/(B32+1)*B29)</f>
        <v/>
      </c>
      <c r="J35" s="50" t="str">
        <f>IF(OR(NOT(E29),(COLUMN()-3)-(B31+3)&lt;0,(B31+3+B32) - (COLUMN()-2) &lt;0),"",E29*(1-B30)/(B32+1)*B29)</f>
        <v/>
      </c>
      <c r="K35" s="50" t="str">
        <f>IF(OR(NOT(E29),(COLUMN()-3)-(B31+3)&lt;0,(B31+3+B32) - (COLUMN()-2) &lt;0),"",E29*(1-B30)/(B32+1)*B29)</f>
        <v/>
      </c>
      <c r="L35" s="50" t="str">
        <f>IF(OR(NOT(E29),(COLUMN()-3)-(B31+3)&lt;0,(B31+3+B32) - (COLUMN()-2) &lt;0),"",E29*(1-B30)/(B32+1)*B29)</f>
        <v/>
      </c>
      <c r="M35" s="50" t="str">
        <f>IF(OR(NOT(E29),(COLUMN()-3)-(B31+3)&lt;0,(B31+3+B32) - (COLUMN()-2) &lt;0),"",E29*(1-B30)/(B32+1)*B29)</f>
        <v/>
      </c>
      <c r="N35" s="50" t="str">
        <f>IF(OR(NOT(E29),(COLUMN()-3)-(B31+3)&lt;0,(B31+3+B32) - (COLUMN()-2) &lt;0),"",E29*(1-B30)/(B32+1)*B29)</f>
        <v/>
      </c>
      <c r="O35" s="56" t="str">
        <f>IF(OR(NOT(E29),(COLUMN()-3)-(B31+3)&lt;0,(B31+3+B32) - (COLUMN()-2) &lt;0),"",E29*(1-B30)/(B32+1)*B29)</f>
        <v/>
      </c>
      <c r="P35" s="56" t="str">
        <f>IF(OR(NOT(E29),(COLUMN()-3)-(B31+3)&lt;0,(B31+3+B32) - (COLUMN()-2) &lt;0),"",E29*(1-B30)/(B32+1)*B29)</f>
        <v/>
      </c>
      <c r="Q35" s="56" t="str">
        <f>IF(OR(NOT(E29),(COLUMN()-3)-(B31+3)&lt;0,(B31+3+B32) - (COLUMN()-2) &lt;0),"",E29*(1-B30)/(B32+1)*B29)</f>
        <v/>
      </c>
      <c r="R35" s="56" t="str">
        <f>IF(OR(NOT(E29),(COLUMN()-3)-(B31+3)&lt;0,(B31+3+B32) - (COLUMN()-2) &lt;0),"",E29*(1-B30)/(B32+1)*B29)</f>
        <v/>
      </c>
      <c r="S35" s="56" t="str">
        <f>IF(OR(NOT(E29),(COLUMN()-3)-(B31+3)&lt;0,(B31+3+B32) - (COLUMN()-2) &lt;0),"",E29*(1-B30)/(B32+1)*B29)</f>
        <v/>
      </c>
      <c r="T35" s="56" t="str">
        <f>IF(OR(NOT(E29),(COLUMN()-3)-(B31+3)&lt;0,(B31+3+B32) - (COLUMN()-2) &lt;0),"",E29*(1-B30)/(B32+1)*B29)</f>
        <v/>
      </c>
      <c r="U35" s="56" t="str">
        <f>IF(OR(NOT(E29),(COLUMN()-3)-(B31+3)&lt;0,(B31+3+B32) - (COLUMN()-2) &lt;0),"",E29*(1-B30)/(B32+1)*B29)</f>
        <v/>
      </c>
      <c r="V35" s="56" t="str">
        <f>IF(OR(NOT(E29),(COLUMN()-3)-(B31+3)&lt;0,(B31+3+B32) - (COLUMN()-2) &lt;0),"",E29*(1-B30)/(B32+1)*B29)</f>
        <v/>
      </c>
      <c r="W35" s="56" t="str">
        <f>IF(OR(NOT(E29),(COLUMN()-3)-(B31+3)&lt;0,(B31+3+B32) - (COLUMN()-2) &lt;0),"",E29*(1-B30)/(B32+1)*B29)</f>
        <v/>
      </c>
      <c r="X35" s="56" t="str">
        <f>IF(OR(NOT(E29),(COLUMN()-3)-(B31+3)&lt;0,(B31+3+B32) - (COLUMN()-2) &lt;0),"",E29*(1-B30)/(B32+1)*B29)</f>
        <v/>
      </c>
      <c r="Y35" s="56" t="str">
        <f>IF(OR(NOT(E29),(COLUMN()-3)-(B31+3)&lt;0,(B31+3+B32) - (COLUMN()-2) &lt;0),"",E29*(1-B30)/(B32+1)*B29)</f>
        <v/>
      </c>
      <c r="Z35" s="56" t="str">
        <f>IF(OR(NOT(E29),(COLUMN()-3)-(B31+3)&lt;0,(B31+3+B32) - (COLUMN()-2) &lt;0),"",E29*(1-B30)/(B32+1)*B29)</f>
        <v/>
      </c>
      <c r="AA35" s="72" t="str">
        <f>IF(OR(NOT(E29),(COLUMN()-3)-(B31+3)&lt;0,(B31+3+B32) - (COLUMN()-2) &lt;0),"",E29*(1-B30)/(B32+1)*B29)</f>
        <v/>
      </c>
      <c r="AB35" s="91"/>
      <c r="AC35" s="91"/>
      <c r="AD35" s="91"/>
      <c r="AE35" s="91"/>
      <c r="AF35" s="91"/>
      <c r="AG35" s="91"/>
      <c r="AH35" s="91"/>
      <c r="AI35" s="91"/>
      <c r="AJ35" s="91"/>
    </row>
    <row r="36" spans="1:37" hidden="1">
      <c r="A36" s="91"/>
      <c r="B36" s="91"/>
      <c r="C36" s="91"/>
      <c r="D36" s="91"/>
      <c r="E36" s="91"/>
      <c r="F36" s="91"/>
      <c r="G36" s="50" t="str">
        <f>IF(OR(NOT(F29),(COLUMN()-3)-(B31+4)&lt;0,(B31+4+B32) - (COLUMN()-2) &lt;0),"",F29*(1-B30)/(B32+1)*B29)</f>
        <v/>
      </c>
      <c r="H36" s="50" t="str">
        <f>IF(OR(NOT(F29),(COLUMN()-3)-(B31+4)&lt;0,(B31+4+B32) - (COLUMN()-2) &lt;0),"",F29*(1-B30)/(B32+1)*B29)</f>
        <v/>
      </c>
      <c r="I36" s="50" t="str">
        <f>IF(OR(NOT(F29),(COLUMN()-3)-(B31+4)&lt;0,(B31+4+B32) - (COLUMN()-2) &lt;0),"",F29*(1-B30)/(B32+1)*B29)</f>
        <v/>
      </c>
      <c r="J36" s="50" t="str">
        <f>IF(OR(NOT(F29),(COLUMN()-3)-(B31+4)&lt;0,(B31+4+B32) - (COLUMN()-2) &lt;0),"",F29*(1-B30)/(B32+1)*B29)</f>
        <v/>
      </c>
      <c r="K36" s="50" t="str">
        <f>IF(OR(NOT(F29),(COLUMN()-3)-(B31+4)&lt;0,(B31+4+B32) - (COLUMN()-2) &lt;0),"",F29*(1-B30)/(B32+1)*B29)</f>
        <v/>
      </c>
      <c r="L36" s="50" t="str">
        <f>IF(OR(NOT(F29),(COLUMN()-3)-(B31+4)&lt;0,(B31+4+B32) - (COLUMN()-2) &lt;0),"",F29*(1-B30)/(B32+1)*B29)</f>
        <v/>
      </c>
      <c r="M36" s="50" t="str">
        <f>IF(OR(NOT(F29),(COLUMN()-3)-(B31+4)&lt;0,(B31+4+B32) - (COLUMN()-2) &lt;0),"",F29*(1-B30)/(B32+1)*B29)</f>
        <v/>
      </c>
      <c r="N36" s="50" t="str">
        <f>IF(OR(NOT(F29),(COLUMN()-3)-(B31+4)&lt;0,(B31+4+B32) - (COLUMN()-2) &lt;0),"",F29*(1-B30)/(B32+1)*B29)</f>
        <v/>
      </c>
      <c r="O36" s="56" t="str">
        <f>IF(OR(NOT(F29),(COLUMN()-3)-(B31+4)&lt;0,(B31+4+B32) - (COLUMN()-2) &lt;0),"",F29*(1-B30)/(B32+1)*B29)</f>
        <v/>
      </c>
      <c r="P36" s="56" t="str">
        <f>IF(OR(NOT(F29),(COLUMN()-3)-(B31+4)&lt;0,(B31+4+B32) - (COLUMN()-2) &lt;0),"",F29*(1-B30)/(B32+1)*B29)</f>
        <v/>
      </c>
      <c r="Q36" s="56" t="str">
        <f>IF(OR(NOT(F29),(COLUMN()-3)-(B31+4)&lt;0,(B31+4+B32) - (COLUMN()-2) &lt;0),"",F29*(1-B30)/(B32+1)*B29)</f>
        <v/>
      </c>
      <c r="R36" s="56" t="str">
        <f>IF(OR(NOT(F29),(COLUMN()-3)-(B31+4)&lt;0,(B31+4+B32) - (COLUMN()-2) &lt;0),"",F29*(1-B30)/(B32+1)*B29)</f>
        <v/>
      </c>
      <c r="S36" s="56" t="str">
        <f>IF(OR(NOT(F29),(COLUMN()-3)-(B31+4)&lt;0,(B31+4+B32) - (COLUMN()-2) &lt;0),"",F29*(1-B30)/(B32+1)*B29)</f>
        <v/>
      </c>
      <c r="T36" s="56" t="str">
        <f>IF(OR(NOT(F29),(COLUMN()-3)-(B31+4)&lt;0,(B31+4+B32) - (COLUMN()-2) &lt;0),"",F29*(1-B30)/(B32+1)*B29)</f>
        <v/>
      </c>
      <c r="U36" s="56" t="str">
        <f>IF(OR(NOT(F29),(COLUMN()-3)-(B31+4)&lt;0,(B31+4+B32) - (COLUMN()-2) &lt;0),"",F29*(1-B30)/(B32+1)*B29)</f>
        <v/>
      </c>
      <c r="V36" s="56" t="str">
        <f>IF(OR(NOT(F29),(COLUMN()-3)-(B31+4)&lt;0,(B31+4+B32) - (COLUMN()-2) &lt;0),"",F29*(1-B30)/(B32+1)*B29)</f>
        <v/>
      </c>
      <c r="W36" s="56" t="str">
        <f>IF(OR(NOT(F29),(COLUMN()-3)-(B31+4)&lt;0,(B31+4+B32) - (COLUMN()-2) &lt;0),"",F29*(1-B30)/(B32+1)*B29)</f>
        <v/>
      </c>
      <c r="X36" s="56" t="str">
        <f>IF(OR(NOT(F29),(COLUMN()-3)-(B31+4)&lt;0,(B31+4+B32) - (COLUMN()-2) &lt;0),"",F29*(1-B30)/(B32+1)*B29)</f>
        <v/>
      </c>
      <c r="Y36" s="56" t="str">
        <f>IF(OR(NOT(F29),(COLUMN()-3)-(B31+4)&lt;0,(B31+4+B32) - (COLUMN()-2) &lt;0),"",F29*(1-B30)/(B32+1)*B29)</f>
        <v/>
      </c>
      <c r="Z36" s="56" t="str">
        <f>IF(OR(NOT(F29),(COLUMN()-3)-(B31+4)&lt;0,(B31+4+B32) - (COLUMN()-2) &lt;0),"",F29*(1-B30)/(B32+1)*B29)</f>
        <v/>
      </c>
      <c r="AA36" s="72" t="str">
        <f>IF(OR(NOT(F29),(COLUMN()-3)-(B31+4)&lt;0,(B31+4+B32) - (COLUMN()-2) &lt;0),"",F29*(1-B30)/(B32+1)*B29)</f>
        <v/>
      </c>
      <c r="AB36" s="72" t="str">
        <f>IF(OR(NOT(F29),(COLUMN()-3)-(B31+4)&lt;0,(B31+4+B32) - (COLUMN()-2) &lt;0),"",F29*(1-B30)/(B32+1)*B29)</f>
        <v/>
      </c>
      <c r="AC36" s="91"/>
      <c r="AD36" s="91"/>
      <c r="AE36" s="91"/>
      <c r="AF36" s="91"/>
      <c r="AG36" s="91"/>
      <c r="AH36" s="91"/>
      <c r="AI36" s="91"/>
      <c r="AJ36" s="91"/>
    </row>
    <row r="37" spans="1:37" hidden="1">
      <c r="A37" s="91"/>
      <c r="B37" s="91"/>
      <c r="C37" s="91"/>
      <c r="D37" s="91"/>
      <c r="E37" s="91"/>
      <c r="F37" s="91"/>
      <c r="G37" s="91"/>
      <c r="H37" s="50" t="str">
        <f>IF(OR(NOT(G29),(COLUMN()-3)-(B31+5)&lt;0,(B31+5+B32) - (COLUMN()-2) &lt;0),"",G29*(1-B30)/(B32+1)*B29)</f>
        <v/>
      </c>
      <c r="I37" s="50" t="str">
        <f>IF(OR(NOT(G29),(COLUMN()-3)-(B31+5)&lt;0,(B31+5+B32) - (COLUMN()-2) &lt;0),"",G29*(1-B30)/(B32+1)*B29)</f>
        <v/>
      </c>
      <c r="J37" s="50" t="str">
        <f>IF(OR(NOT(G29),(COLUMN()-3)-(B31+5)&lt;0,(B31+5+B32) - (COLUMN()-2) &lt;0),"",G29*(1-B30)/(B32+1)*B29)</f>
        <v/>
      </c>
      <c r="K37" s="50" t="str">
        <f>IF(OR(NOT(G29),(COLUMN()-3)-(B31+5)&lt;0,(B31+5+B32) - (COLUMN()-2) &lt;0),"",G29*(1-B30)/(B32+1)*B29)</f>
        <v/>
      </c>
      <c r="L37" s="50" t="str">
        <f>IF(OR(NOT(G29),(COLUMN()-3)-(B31+5)&lt;0,(B31+5+B32) - (COLUMN()-2) &lt;0),"",G29*(1-B30)/(B32+1)*B29)</f>
        <v/>
      </c>
      <c r="M37" s="50" t="str">
        <f>IF(OR(NOT(G29),(COLUMN()-3)-(B31+5)&lt;0,(B31+5+B32) - (COLUMN()-2) &lt;0),"",G29*(1-B30)/(B32+1)*B29)</f>
        <v/>
      </c>
      <c r="N37" s="50" t="str">
        <f>IF(OR(NOT(G29),(COLUMN()-3)-(B31+5)&lt;0,(B31+5+B32) - (COLUMN()-2) &lt;0),"",G29*(1-B30)/(B32+1)*B29)</f>
        <v/>
      </c>
      <c r="O37" s="56" t="str">
        <f>IF(OR(NOT(G29),(COLUMN()-3)-(B31+5)&lt;0,(B31+5+B32) - (COLUMN()-2) &lt;0),"",G29*(1-B30)/(B32+1)*B29)</f>
        <v/>
      </c>
      <c r="P37" s="56" t="str">
        <f>IF(OR(NOT(G29),(COLUMN()-3)-(B31+5)&lt;0,(B31+5+B32) - (COLUMN()-2) &lt;0),"",G29*(1-B30)/(B32+1)*B29)</f>
        <v/>
      </c>
      <c r="Q37" s="56" t="str">
        <f>IF(OR(NOT(G29),(COLUMN()-3)-(B31+5)&lt;0,(B31+5+B32) - (COLUMN()-2) &lt;0),"",G29*(1-B30)/(B32+1)*B29)</f>
        <v/>
      </c>
      <c r="R37" s="56" t="str">
        <f>IF(OR(NOT(G29),(COLUMN()-3)-(B31+5)&lt;0,(B31+5+B32) - (COLUMN()-2) &lt;0),"",G29*(1-B30)/(B32+1)*B29)</f>
        <v/>
      </c>
      <c r="S37" s="56" t="str">
        <f>IF(OR(NOT(G29),(COLUMN()-3)-(B31+5)&lt;0,(B31+5+B32) - (COLUMN()-2) &lt;0),"",G29*(1-B30)/(B32+1)*B29)</f>
        <v/>
      </c>
      <c r="T37" s="56" t="str">
        <f>IF(OR(NOT(G29),(COLUMN()-3)-(B31+5)&lt;0,(B31+5+B32) - (COLUMN()-2) &lt;0),"",G29*(1-B30)/(B32+1)*B29)</f>
        <v/>
      </c>
      <c r="U37" s="56" t="str">
        <f>IF(OR(NOT(G29),(COLUMN()-3)-(B31+5)&lt;0,(B31+5+B32) - (COLUMN()-2) &lt;0),"",G29*(1-B30)/(B32+1)*B29)</f>
        <v/>
      </c>
      <c r="V37" s="56" t="str">
        <f>IF(OR(NOT(G29),(COLUMN()-3)-(B31+5)&lt;0,(B31+5+B32) - (COLUMN()-2) &lt;0),"",G29*(1-B30)/(B32+1)*B29)</f>
        <v/>
      </c>
      <c r="W37" s="56" t="str">
        <f>IF(OR(NOT(G29),(COLUMN()-3)-(B31+5)&lt;0,(B31+5+B32) - (COLUMN()-2) &lt;0),"",G29*(1-B30)/(B32+1)*B29)</f>
        <v/>
      </c>
      <c r="X37" s="56" t="str">
        <f>IF(OR(NOT(G29),(COLUMN()-3)-(B31+5)&lt;0,(B31+5+B32) - (COLUMN()-2) &lt;0),"",G29*(1-B30)/(B32+1)*B29)</f>
        <v/>
      </c>
      <c r="Y37" s="56" t="str">
        <f>IF(OR(NOT(G29),(COLUMN()-3)-(B31+5)&lt;0,(B31+5+B32) - (COLUMN()-2) &lt;0),"",G29*(1-B30)/(B32+1)*B29)</f>
        <v/>
      </c>
      <c r="Z37" s="56" t="str">
        <f>IF(OR(NOT(G29),(COLUMN()-3)-(B31+5)&lt;0,(B31+5+B32) - (COLUMN()-2) &lt;0),"",G29*(1-B30)/(B32+1)*B29)</f>
        <v/>
      </c>
      <c r="AA37" s="72" t="str">
        <f>IF(OR(NOT(G29),(COLUMN()-3)-(B31+5)&lt;0,(B31+5+B32) - (COLUMN()-2) &lt;0),"",G29*(1-B30)/(B32+1)*B29)</f>
        <v/>
      </c>
      <c r="AB37" s="72" t="str">
        <f>IF(OR(NOT(G29),(COLUMN()-3)-(B31+5)&lt;0,(B31+5+B32) - (COLUMN()-2) &lt;0),"",G29*(1-B30)/(B32+1)*B29)</f>
        <v/>
      </c>
      <c r="AC37" s="72" t="str">
        <f>IF(OR(NOT(G29),(COLUMN()-3)-(B31+5)&lt;0,(B31+5+B32) - (COLUMN()-2) &lt;0),"",G29*(1-B30)/(B32+1)*B29)</f>
        <v/>
      </c>
      <c r="AD37" s="91"/>
      <c r="AE37" s="91"/>
      <c r="AF37" s="91"/>
      <c r="AG37" s="91"/>
      <c r="AH37" s="91"/>
      <c r="AI37" s="91"/>
      <c r="AJ37" s="91"/>
    </row>
    <row r="38" spans="1:37" hidden="1">
      <c r="A38" s="91"/>
      <c r="B38" s="91"/>
      <c r="C38" s="91"/>
      <c r="D38" s="91"/>
      <c r="E38" s="91"/>
      <c r="F38" s="91"/>
      <c r="G38" s="91"/>
      <c r="H38" s="91"/>
      <c r="I38" s="50" t="str">
        <f>IF(OR(NOT(H29),(COLUMN()-3)-(B31+6)&lt;0,(B31+6+B32) - (COLUMN()-2) &lt;0),"",H29*(1-B30)/(B32+1)*B29)</f>
        <v/>
      </c>
      <c r="J38" s="50" t="str">
        <f>IF(OR(NOT(H29),(COLUMN()-3)-(B31+6)&lt;0,(B31+6+B32) - (COLUMN()-2) &lt;0),"",H29*(1-B30)/(B32+1)*B29)</f>
        <v/>
      </c>
      <c r="K38" s="50" t="str">
        <f>IF(OR(NOT(H29),(COLUMN()-3)-(B31+6)&lt;0,(B31+6+B32) - (COLUMN()-2) &lt;0),"",H29*(1-B30)/(B32+1)*B29)</f>
        <v/>
      </c>
      <c r="L38" s="50" t="str">
        <f>IF(OR(NOT(H29),(COLUMN()-3)-(B31+6)&lt;0,(B31+6+B32) - (COLUMN()-2) &lt;0),"",H29*(1-B30)/(B32+1)*B29)</f>
        <v/>
      </c>
      <c r="M38" s="50" t="str">
        <f>IF(OR(NOT(H29),(COLUMN()-3)-(B31+6)&lt;0,(B31+6+B32) - (COLUMN()-2) &lt;0),"",H29*(1-B30)/(B32+1)*B29)</f>
        <v/>
      </c>
      <c r="N38" s="50" t="str">
        <f>IF(OR(NOT(H29),(COLUMN()-3)-(B31+6)&lt;0,(B31+6+B32) - (COLUMN()-2) &lt;0),"",H29*(1-B30)/(B32+1)*B29)</f>
        <v/>
      </c>
      <c r="O38" s="56" t="str">
        <f>IF(OR(NOT(H29),(COLUMN()-3)-(B31+6)&lt;0,(B31+6+B32) - (COLUMN()-2) &lt;0),"",H29*(1-B30)/(B32+1)*B29)</f>
        <v/>
      </c>
      <c r="P38" s="56" t="str">
        <f>IF(OR(NOT(H29),(COLUMN()-3)-(B31+6)&lt;0,(B31+6+B32) - (COLUMN()-2) &lt;0),"",H29*(1-B30)/(B32+1)*B29)</f>
        <v/>
      </c>
      <c r="Q38" s="56" t="str">
        <f>IF(OR(NOT(H29),(COLUMN()-3)-(B31+6)&lt;0,(B31+6+B32) - (COLUMN()-2) &lt;0),"",H29*(1-B30)/(B32+1)*B29)</f>
        <v/>
      </c>
      <c r="R38" s="56" t="str">
        <f>IF(OR(NOT(H29),(COLUMN()-3)-(B31+6)&lt;0,(B31+6+B32) - (COLUMN()-2) &lt;0),"",H29*(1-B30)/(B32+1)*B29)</f>
        <v/>
      </c>
      <c r="S38" s="56" t="str">
        <f>IF(OR(NOT(H29),(COLUMN()-3)-(B31+6)&lt;0,(B31+6+B32) - (COLUMN()-2) &lt;0),"",H29*(1-B30)/(B32+1)*B29)</f>
        <v/>
      </c>
      <c r="T38" s="56" t="str">
        <f>IF(OR(NOT(H29),(COLUMN()-3)-(B31+6)&lt;0,(B31+6+B32) - (COLUMN()-2) &lt;0),"",H29*(1-B30)/(B32+1)*B29)</f>
        <v/>
      </c>
      <c r="U38" s="56" t="str">
        <f>IF(OR(NOT(H29),(COLUMN()-3)-(B31+6)&lt;0,(B31+6+B32) - (COLUMN()-2) &lt;0),"",H29*(1-B30)/(B32+1)*B29)</f>
        <v/>
      </c>
      <c r="V38" s="56" t="str">
        <f>IF(OR(NOT(H29),(COLUMN()-3)-(B31+6)&lt;0,(B31+6+B32) - (COLUMN()-2) &lt;0),"",H29*(1-B30)/(B32+1)*B29)</f>
        <v/>
      </c>
      <c r="W38" s="56" t="str">
        <f>IF(OR(NOT(H29),(COLUMN()-3)-(B31+6)&lt;0,(B31+6+B32) - (COLUMN()-2) &lt;0),"",H29*(1-B30)/(B32+1)*B29)</f>
        <v/>
      </c>
      <c r="X38" s="56" t="str">
        <f>IF(OR(NOT(H29),(COLUMN()-3)-(B31+6)&lt;0,(B31+6+B32) - (COLUMN()-2) &lt;0),"",H29*(1-B30)/(B32+1)*B29)</f>
        <v/>
      </c>
      <c r="Y38" s="56" t="str">
        <f>IF(OR(NOT(H29),(COLUMN()-3)-(B31+6)&lt;0,(B31+6+B32) - (COLUMN()-2) &lt;0),"",H29*(1-B30)/(B32+1)*B29)</f>
        <v/>
      </c>
      <c r="Z38" s="56" t="str">
        <f>IF(OR(NOT(H29),(COLUMN()-3)-(B31+6)&lt;0,(B31+6+B32) - (COLUMN()-2) &lt;0),"",H29*(1-B30)/(B32+1)*B29)</f>
        <v/>
      </c>
      <c r="AA38" s="72" t="str">
        <f>IF(OR(NOT(H29),(COLUMN()-3)-(B31+6)&lt;0,(B31+6+B32) - (COLUMN()-2) &lt;0),"",H29*(1-B30)/(B32+1)*B29)</f>
        <v/>
      </c>
      <c r="AB38" s="72" t="str">
        <f>IF(OR(NOT(H29),(COLUMN()-3)-(B31+6)&lt;0,(B31+6+B32) - (COLUMN()-2) &lt;0),"",H29*(1-B30)/(B32+1)*B29)</f>
        <v/>
      </c>
      <c r="AC38" s="72" t="str">
        <f>IF(OR(NOT(H29),(COLUMN()-3)-(B31+6)&lt;0,(B31+6+B32) - (COLUMN()-2) &lt;0),"",H29*(1-B30)/(B32+1)*B29)</f>
        <v/>
      </c>
      <c r="AD38" s="72" t="str">
        <f>IF(OR(NOT(H29),(COLUMN()-3)-(B31+6)&lt;0,(B31+6+B32) - (COLUMN()-2) &lt;0),"",H29*(1-B30)/(B32+1)*B29)</f>
        <v/>
      </c>
      <c r="AE38" s="91"/>
      <c r="AF38" s="91"/>
      <c r="AG38" s="91"/>
      <c r="AH38" s="91"/>
      <c r="AI38" s="91"/>
      <c r="AJ38" s="91"/>
    </row>
    <row r="39" spans="1:37" hidden="1">
      <c r="A39" s="91"/>
      <c r="B39" s="91"/>
      <c r="C39" s="91"/>
      <c r="D39" s="91"/>
      <c r="E39" s="91"/>
      <c r="F39" s="91"/>
      <c r="G39" s="91"/>
      <c r="H39" s="91"/>
      <c r="I39" s="91"/>
      <c r="J39" s="50" t="str">
        <f>IF(OR(NOT(I29),(COLUMN()-3)-(B31+7)&lt;0,(B31+7+B32) - (COLUMN()-2) &lt;0),"",I29*(1-B30)/(B32+1)*B29)</f>
        <v/>
      </c>
      <c r="K39" s="50" t="str">
        <f>IF(OR(NOT(I29),(COLUMN()-3)-(B31+7)&lt;0,(B31+7+B32) - (COLUMN()-2) &lt;0),"",I29*(1-B30)/(B32+1)*B29)</f>
        <v/>
      </c>
      <c r="L39" s="50" t="str">
        <f>IF(OR(NOT(I29),(COLUMN()-3)-(B31+7)&lt;0,(B31+7+B32) - (COLUMN()-2) &lt;0),"",I29*(1-B30)/(B32+1)*B29)</f>
        <v/>
      </c>
      <c r="M39" s="50" t="str">
        <f>IF(OR(NOT(I29),(COLUMN()-3)-(B31+7)&lt;0,(B31+7+B32) - (COLUMN()-2) &lt;0),"",I29*(1-B30)/(B32+1)*B29)</f>
        <v/>
      </c>
      <c r="N39" s="50" t="str">
        <f>IF(OR(NOT(I29),(COLUMN()-3)-(B31+7)&lt;0,(B31+7+B32) - (COLUMN()-2) &lt;0),"",I29*(1-B30)/(B32+1)*B29)</f>
        <v/>
      </c>
      <c r="O39" s="56" t="str">
        <f>IF(OR(NOT(I29),(COLUMN()-3)-(B31+7)&lt;0,(B31+7+B32) - (COLUMN()-2) &lt;0),"",I29*(1-B30)/(B32+1)*B29)</f>
        <v/>
      </c>
      <c r="P39" s="56" t="str">
        <f>IF(OR(NOT(I29),(COLUMN()-3)-(B31+7)&lt;0,(B31+7+B32) - (COLUMN()-2) &lt;0),"",I29*(1-B30)/(B32+1)*B29)</f>
        <v/>
      </c>
      <c r="Q39" s="56" t="str">
        <f>IF(OR(NOT(I29),(COLUMN()-3)-(B31+7)&lt;0,(B31+7+B32) - (COLUMN()-2) &lt;0),"",I29*(1-B30)/(B32+1)*B29)</f>
        <v/>
      </c>
      <c r="R39" s="56" t="str">
        <f>IF(OR(NOT(I29),(COLUMN()-3)-(B31+7)&lt;0,(B31+7+B32) - (COLUMN()-2) &lt;0),"",I29*(1-B30)/(B32+1)*B29)</f>
        <v/>
      </c>
      <c r="S39" s="56" t="str">
        <f>IF(OR(NOT(I29),(COLUMN()-3)-(B31+7)&lt;0,(B31+7+B32) - (COLUMN()-2) &lt;0),"",I29*(1-B30)/(B32+1)*B29)</f>
        <v/>
      </c>
      <c r="T39" s="56" t="str">
        <f>IF(OR(NOT(I29),(COLUMN()-3)-(B31+7)&lt;0,(B31+7+B32) - (COLUMN()-2) &lt;0),"",I29*(1-B30)/(B32+1)*B29)</f>
        <v/>
      </c>
      <c r="U39" s="56" t="str">
        <f>IF(OR(NOT(I29),(COLUMN()-3)-(B31+7)&lt;0,(B31+7+B32) - (COLUMN()-2) &lt;0),"",I29*(1-B30)/(B32+1)*B29)</f>
        <v/>
      </c>
      <c r="V39" s="56" t="str">
        <f>IF(OR(NOT(I29),(COLUMN()-3)-(B31+7)&lt;0,(B31+7+B32) - (COLUMN()-2) &lt;0),"",I29*(1-B30)/(B32+1)*B29)</f>
        <v/>
      </c>
      <c r="W39" s="56" t="str">
        <f>IF(OR(NOT(I29),(COLUMN()-3)-(B31+7)&lt;0,(B31+7+B32) - (COLUMN()-2) &lt;0),"",I29*(1-B30)/(B32+1)*B29)</f>
        <v/>
      </c>
      <c r="X39" s="56" t="str">
        <f>IF(OR(NOT(I29),(COLUMN()-3)-(B31+7)&lt;0,(B31+7+B32) - (COLUMN()-2) &lt;0),"",I29*(1-B30)/(B32+1)*B29)</f>
        <v/>
      </c>
      <c r="Y39" s="56" t="str">
        <f>IF(OR(NOT(I29),(COLUMN()-3)-(B31+7)&lt;0,(B31+7+B32) - (COLUMN()-2) &lt;0),"",I29*(1-B30)/(B32+1)*B29)</f>
        <v/>
      </c>
      <c r="Z39" s="56" t="str">
        <f>IF(OR(NOT(I29),(COLUMN()-3)-(B31+7)&lt;0,(B31+7+B32) - (COLUMN()-2) &lt;0),"",I29*(1-B30)/(B32+1)*B29)</f>
        <v/>
      </c>
      <c r="AA39" s="72" t="str">
        <f>IF(OR(NOT(I29),(COLUMN()-3)-(B31+7)&lt;0,(B31+7+B32) - (COLUMN()-2) &lt;0),"",I29*(1-B30)/(B32+1)*B29)</f>
        <v/>
      </c>
      <c r="AB39" s="72" t="str">
        <f>IF(OR(NOT(I29),(COLUMN()-3)-(B31+7)&lt;0,(B31+7+B32) - (COLUMN()-2) &lt;0),"",I29*(1-B30)/(B32+1)*B29)</f>
        <v/>
      </c>
      <c r="AC39" s="72" t="str">
        <f>IF(OR(NOT(I29),(COLUMN()-3)-(B31+7)&lt;0,(B31+7+B32) - (COLUMN()-2) &lt;0),"",I29*(1-B30)/(B32+1)*B29)</f>
        <v/>
      </c>
      <c r="AD39" s="72" t="str">
        <f>IF(OR(NOT(I29),(COLUMN()-3)-(B31+7)&lt;0,(B31+7+B32) - (COLUMN()-2) &lt;0),"",I29*(1-B30)/(B32+1)*B29)</f>
        <v/>
      </c>
      <c r="AE39" s="72" t="str">
        <f>IF(OR(NOT(I29),(COLUMN()-3)-(B31+7)&lt;0,(B31+7+B32) - (COLUMN()-2) &lt;0),"",I29*(1-B30)/(B32+1)*B29)</f>
        <v/>
      </c>
      <c r="AF39" s="91"/>
      <c r="AG39" s="91"/>
      <c r="AH39" s="91"/>
      <c r="AI39" s="91"/>
      <c r="AJ39" s="91"/>
    </row>
    <row r="40" spans="1:37" hidden="1">
      <c r="A40" s="91"/>
      <c r="B40" s="91"/>
      <c r="C40" s="91"/>
      <c r="D40" s="91"/>
      <c r="E40" s="91"/>
      <c r="F40" s="91"/>
      <c r="G40" s="91"/>
      <c r="H40" s="91"/>
      <c r="I40" s="91"/>
      <c r="J40" s="91"/>
      <c r="K40" s="50" t="str">
        <f>IF(OR(NOT(J29),(COLUMN()-3)-(B31+8)&lt;0,(B31+8+B32) - (COLUMN()-2) &lt;0),"",J29*(1-B30)/(B32+1)*B29)</f>
        <v/>
      </c>
      <c r="L40" s="50" t="str">
        <f>IF(OR(NOT(J29),(COLUMN()-3)-(B31+8)&lt;0,(B31+8+B32) - (COLUMN()-2) &lt;0),"",J29*(1-B30)/(B32+1)*B29)</f>
        <v/>
      </c>
      <c r="M40" s="50" t="str">
        <f>IF(OR(NOT(J29),(COLUMN()-3)-(B31+8)&lt;0,(B31+8+B32) - (COLUMN()-2) &lt;0),"",J29*(1-B30)/(B32+1)*B29)</f>
        <v/>
      </c>
      <c r="N40" s="50" t="str">
        <f>IF(OR(NOT(J29),(COLUMN()-3)-(B31+8)&lt;0,(B31+8+B32) - (COLUMN()-2) &lt;0),"",J29*(1-B30)/(B32+1)*B29)</f>
        <v/>
      </c>
      <c r="O40" s="56" t="str">
        <f>IF(OR(NOT(J29),(COLUMN()-3)-(B31+8)&lt;0,(B31+8+B32) - (COLUMN()-2) &lt;0),"",J29*(1-B30)/(B32+1)*B29)</f>
        <v/>
      </c>
      <c r="P40" s="56" t="str">
        <f>IF(OR(NOT(J29),(COLUMN()-3)-(B31+8)&lt;0,(B31+8+B32) - (COLUMN()-2) &lt;0),"",J29*(1-B30)/(B32+1)*B29)</f>
        <v/>
      </c>
      <c r="Q40" s="56" t="str">
        <f>IF(OR(NOT(J29),(COLUMN()-3)-(B31+8)&lt;0,(B31+8+B32) - (COLUMN()-2) &lt;0),"",J29*(1-B30)/(B32+1)*B29)</f>
        <v/>
      </c>
      <c r="R40" s="56" t="str">
        <f>IF(OR(NOT(J29),(COLUMN()-3)-(B31+8)&lt;0,(B31+8+B32) - (COLUMN()-2) &lt;0),"",J29*(1-B30)/(B32+1)*B29)</f>
        <v/>
      </c>
      <c r="S40" s="56" t="str">
        <f>IF(OR(NOT(J29),(COLUMN()-3)-(B31+8)&lt;0,(B31+8+B32) - (COLUMN()-2) &lt;0),"",J29*(1-B30)/(B32+1)*B29)</f>
        <v/>
      </c>
      <c r="T40" s="56" t="str">
        <f>IF(OR(NOT(J29),(COLUMN()-3)-(B31+8)&lt;0,(B31+8+B32) - (COLUMN()-2) &lt;0),"",J29*(1-B30)/(B32+1)*B29)</f>
        <v/>
      </c>
      <c r="U40" s="56" t="str">
        <f>IF(OR(NOT(J29),(COLUMN()-3)-(B31+8)&lt;0,(B31+8+B32) - (COLUMN()-2) &lt;0),"",J29*(1-B30)/(B32+1)*B29)</f>
        <v/>
      </c>
      <c r="V40" s="56" t="str">
        <f>IF(OR(NOT(J29),(COLUMN()-3)-(B31+8)&lt;0,(B31+8+B32) - (COLUMN()-2) &lt;0),"",J29*(1-B30)/(B32+1)*B29)</f>
        <v/>
      </c>
      <c r="W40" s="56" t="str">
        <f>IF(OR(NOT(J29),(COLUMN()-3)-(B31+8)&lt;0,(B31+8+B32) - (COLUMN()-2) &lt;0),"",J29*(1-B30)/(B32+1)*B29)</f>
        <v/>
      </c>
      <c r="X40" s="56" t="str">
        <f>IF(OR(NOT(J29),(COLUMN()-3)-(B31+8)&lt;0,(B31+8+B32) - (COLUMN()-2) &lt;0),"",J29*(1-B30)/(B32+1)*B29)</f>
        <v/>
      </c>
      <c r="Y40" s="56" t="str">
        <f>IF(OR(NOT(J29),(COLUMN()-3)-(B31+8)&lt;0,(B31+8+B32) - (COLUMN()-2) &lt;0),"",J29*(1-B30)/(B32+1)*B29)</f>
        <v/>
      </c>
      <c r="Z40" s="56" t="str">
        <f>IF(OR(NOT(J29),(COLUMN()-3)-(B31+8)&lt;0,(B31+8+B32) - (COLUMN()-2) &lt;0),"",J29*(1-B30)/(B32+1)*B29)</f>
        <v/>
      </c>
      <c r="AA40" s="72" t="str">
        <f>IF(OR(NOT(J29),(COLUMN()-3)-(B31+8)&lt;0,(B31+8+B32) - (COLUMN()-2) &lt;0),"",J29*(1-B30)/(B32+1)*B29)</f>
        <v/>
      </c>
      <c r="AB40" s="72" t="str">
        <f>IF(OR(NOT(J29),(COLUMN()-3)-(B31+8)&lt;0,(B31+8+B32) - (COLUMN()-2) &lt;0),"",J29*(1-B30)/(B32+1)*B29)</f>
        <v/>
      </c>
      <c r="AC40" s="72" t="str">
        <f>IF(OR(NOT(J29),(COLUMN()-3)-(B31+8)&lt;0,(B31+8+B32) - (COLUMN()-2) &lt;0),"",J29*(1-B30)/(B32+1)*B29)</f>
        <v/>
      </c>
      <c r="AD40" s="72" t="str">
        <f>IF(OR(NOT(J29),(COLUMN()-3)-(B31+8)&lt;0,(B31+8+B32) - (COLUMN()-2) &lt;0),"",J29*(1-B30)/(B32+1)*B29)</f>
        <v/>
      </c>
      <c r="AE40" s="72" t="str">
        <f>IF(OR(NOT(J29),(COLUMN()-3)-(B31+8)&lt;0,(B31+8+B32) - (COLUMN()-2) &lt;0),"",J29*(1-B30)/(B32+1)*B29)</f>
        <v/>
      </c>
      <c r="AF40" s="72" t="str">
        <f>IF(OR(NOT(J29),(COLUMN()-3)-(B31+8)&lt;0,(B31+8+B32) - (COLUMN()-2) &lt;0),"",J29*(1-B30)/(B32+1)*B29)</f>
        <v/>
      </c>
      <c r="AG40" s="91"/>
      <c r="AH40" s="91"/>
      <c r="AI40" s="91"/>
      <c r="AJ40" s="91"/>
    </row>
    <row r="41" spans="1:37" hidden="1">
      <c r="A41" s="91"/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50" t="str">
        <f>IF(OR(NOT(K29),(COLUMN()-3)-(B31+9)&lt;0,(B31+9+B32) - (COLUMN()-2) &lt;0),"",K29*(1-B30)/(B32+1)*B29)</f>
        <v/>
      </c>
      <c r="M41" s="50" t="str">
        <f>IF(OR(NOT(K29),(COLUMN()-3)-(B31+9)&lt;0,(B31+9+B32) - (COLUMN()-2) &lt;0),"",K29*(1-B30)/(B32+1)*B29)</f>
        <v/>
      </c>
      <c r="N41" s="50" t="str">
        <f>IF(OR(NOT(K29),(COLUMN()-3)-(B31+9)&lt;0,(B31+9+B32) - (COLUMN()-2) &lt;0),"",K29*(1-B30)/(B32+1)*B29)</f>
        <v/>
      </c>
      <c r="O41" s="56" t="str">
        <f>IF(OR(NOT(K29),(COLUMN()-3)-(B31+9)&lt;0,(B31+9+B32) - (COLUMN()-2) &lt;0),"",K29*(1-B30)/(B32+1)*B29)</f>
        <v/>
      </c>
      <c r="P41" s="56" t="str">
        <f>IF(OR(NOT(K29),(COLUMN()-3)-(B31+9)&lt;0,(B31+9+B32) - (COLUMN()-2) &lt;0),"",K29*(1-B30)/(B32+1)*B29)</f>
        <v/>
      </c>
      <c r="Q41" s="56" t="str">
        <f>IF(OR(NOT(K29),(COLUMN()-3)-(B31+9)&lt;0,(B31+9+B32) - (COLUMN()-2) &lt;0),"",K29*(1-B30)/(B32+1)*B29)</f>
        <v/>
      </c>
      <c r="R41" s="56" t="str">
        <f>IF(OR(NOT(K29),(COLUMN()-3)-(B31+9)&lt;0,(B31+9+B32) - (COLUMN()-2) &lt;0),"",K29*(1-B30)/(B32+1)*B29)</f>
        <v/>
      </c>
      <c r="S41" s="56" t="str">
        <f>IF(OR(NOT(K29),(COLUMN()-3)-(B31+9)&lt;0,(B31+9+B32) - (COLUMN()-2) &lt;0),"",K29*(1-B30)/(B32+1)*B29)</f>
        <v/>
      </c>
      <c r="T41" s="56" t="str">
        <f>IF(OR(NOT(K29),(COLUMN()-3)-(B31+9)&lt;0,(B31+9+B32) - (COLUMN()-2) &lt;0),"",K29*(1-B30)/(B32+1)*B29)</f>
        <v/>
      </c>
      <c r="U41" s="56" t="str">
        <f>IF(OR(NOT(K29),(COLUMN()-3)-(B31+9)&lt;0,(B31+9+B32) - (COLUMN()-2) &lt;0),"",K29*(1-B30)/(B32+1)*B29)</f>
        <v/>
      </c>
      <c r="V41" s="56" t="str">
        <f>IF(OR(NOT(K29),(COLUMN()-3)-(B31+9)&lt;0,(B31+9+B32) - (COLUMN()-2) &lt;0),"",K29*(1-B30)/(B32+1)*B29)</f>
        <v/>
      </c>
      <c r="W41" s="56" t="str">
        <f>IF(OR(NOT(K29),(COLUMN()-3)-(B31+9)&lt;0,(B31+9+B32) - (COLUMN()-2) &lt;0),"",K29*(1-B30)/(B32+1)*B29)</f>
        <v/>
      </c>
      <c r="X41" s="56" t="str">
        <f>IF(OR(NOT(K29),(COLUMN()-3)-(B31+9)&lt;0,(B31+9+B32) - (COLUMN()-2) &lt;0),"",K29*(1-B30)/(B32+1)*B29)</f>
        <v/>
      </c>
      <c r="Y41" s="56" t="str">
        <f>IF(OR(NOT(K29),(COLUMN()-3)-(B31+9)&lt;0,(B31+9+B32) - (COLUMN()-2) &lt;0),"",K29*(1-B30)/(B32+1)*B29)</f>
        <v/>
      </c>
      <c r="Z41" s="56" t="str">
        <f>IF(OR(NOT(K29),(COLUMN()-3)-(B31+9)&lt;0,(B31+9+B32) - (COLUMN()-2) &lt;0),"",K29*(1-B30)/(B32+1)*B29)</f>
        <v/>
      </c>
      <c r="AA41" s="72" t="str">
        <f>IF(OR(NOT(K29),(COLUMN()-3)-(B31+9)&lt;0,(B31+9+B32) - (COLUMN()-2) &lt;0),"",K29*(1-B30)/(B32+1)*B29)</f>
        <v/>
      </c>
      <c r="AB41" s="72" t="str">
        <f>IF(OR(NOT(K29),(COLUMN()-3)-(B31+9)&lt;0,(B31+9+B32) - (COLUMN()-2) &lt;0),"",K29*(1-B30)/(B32+1)*B29)</f>
        <v/>
      </c>
      <c r="AC41" s="72" t="str">
        <f>IF(OR(NOT(K29),(COLUMN()-3)-(B31+9)&lt;0,(B31+9+B32) - (COLUMN()-2) &lt;0),"",K29*(1-B30)/(B32+1)*B29)</f>
        <v/>
      </c>
      <c r="AD41" s="72" t="str">
        <f>IF(OR(NOT(K29),(COLUMN()-3)-(B31+9)&lt;0,(B31+9+B32) - (COLUMN()-2) &lt;0),"",K29*(1-B30)/(B32+1)*B29)</f>
        <v/>
      </c>
      <c r="AE41" s="72" t="str">
        <f>IF(OR(NOT(K29),(COLUMN()-3)-(B31+9)&lt;0,(B31+9+B32) - (COLUMN()-2) &lt;0),"",K29*(1-B30)/(B32+1)*B29)</f>
        <v/>
      </c>
      <c r="AF41" s="72" t="str">
        <f>IF(OR(NOT(K29),(COLUMN()-3)-(B31+9)&lt;0,(B31+9+B32) - (COLUMN()-2) &lt;0),"",K29*(1-B30)/(B32+1)*B29)</f>
        <v/>
      </c>
      <c r="AG41" s="72" t="str">
        <f>IF(OR(NOT(K29),(COLUMN()-3)-(B31+9)&lt;0,(B31+9+B32) - (COLUMN()-2) &lt;0),"",K29*(1-B30)/(B32+1)*B29)</f>
        <v/>
      </c>
      <c r="AH41" s="91"/>
      <c r="AI41" s="91"/>
      <c r="AJ41" s="91"/>
    </row>
    <row r="42" spans="1:37" hidden="1">
      <c r="A42" s="91"/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50" t="str">
        <f>IF(OR(NOT(L29),(COLUMN()-3)-(B31+10)&lt;0,(B31+10+B32) - (COLUMN()-2) &lt;0),"",L29*(1-B30)/(B32+1)*B29)</f>
        <v/>
      </c>
      <c r="N42" s="50" t="str">
        <f>IF(OR(NOT(L29),(COLUMN()-3)-(B31+10)&lt;0,(B31+10+B32) - (COLUMN()-2) &lt;0),"",L29*(1-B30)/(B32+1)*B29)</f>
        <v/>
      </c>
      <c r="O42" s="56" t="str">
        <f>IF(OR(NOT(L29),(COLUMN()-3)-(B31+10)&lt;0,(B31+10+B32) - (COLUMN()-2) &lt;0),"",L29*(1-B30)/(B32+1)*B29)</f>
        <v/>
      </c>
      <c r="P42" s="56" t="str">
        <f>IF(OR(NOT(L29),(COLUMN()-3)-(B31+10)&lt;0,(B31+10+B32) - (COLUMN()-2) &lt;0),"",L29*(1-B30)/(B32+1)*B29)</f>
        <v/>
      </c>
      <c r="Q42" s="56" t="str">
        <f>IF(OR(NOT(L29),(COLUMN()-3)-(B31+10)&lt;0,(B31+10+B32) - (COLUMN()-2) &lt;0),"",L29*(1-B30)/(B32+1)*B29)</f>
        <v/>
      </c>
      <c r="R42" s="56" t="str">
        <f>IF(OR(NOT(L29),(COLUMN()-3)-(B31+10)&lt;0,(B31+10+B32) - (COLUMN()-2) &lt;0),"",L29*(1-B30)/(B32+1)*B29)</f>
        <v/>
      </c>
      <c r="S42" s="56" t="str">
        <f>IF(OR(NOT(L29),(COLUMN()-3)-(B31+10)&lt;0,(B31+10+B32) - (COLUMN()-2) &lt;0),"",L29*(1-B30)/(B32+1)*B29)</f>
        <v/>
      </c>
      <c r="T42" s="56" t="str">
        <f>IF(OR(NOT(L29),(COLUMN()-3)-(B31+10)&lt;0,(B31+10+B32) - (COLUMN()-2) &lt;0),"",L29*(1-B30)/(B32+1)*B29)</f>
        <v/>
      </c>
      <c r="U42" s="56" t="str">
        <f>IF(OR(NOT(L29),(COLUMN()-3)-(B31+10)&lt;0,(B31+10+B32) - (COLUMN()-2) &lt;0),"",L29*(1-B30)/(B32+1)*B29)</f>
        <v/>
      </c>
      <c r="V42" s="56" t="str">
        <f>IF(OR(NOT(L29),(COLUMN()-3)-(B31+10)&lt;0,(B31+10+B32) - (COLUMN()-2) &lt;0),"",L29*(1-B30)/(B32+1)*B29)</f>
        <v/>
      </c>
      <c r="W42" s="56" t="str">
        <f>IF(OR(NOT(L29),(COLUMN()-3)-(B31+10)&lt;0,(B31+10+B32) - (COLUMN()-2) &lt;0),"",L29*(1-B30)/(B32+1)*B29)</f>
        <v/>
      </c>
      <c r="X42" s="56" t="str">
        <f>IF(OR(NOT(L29),(COLUMN()-3)-(B31+10)&lt;0,(B31+10+B32) - (COLUMN()-2) &lt;0),"",L29*(1-B30)/(B32+1)*B29)</f>
        <v/>
      </c>
      <c r="Y42" s="56" t="str">
        <f>IF(OR(NOT(L29),(COLUMN()-3)-(B31+10)&lt;0,(B31+10+B32) - (COLUMN()-2) &lt;0),"",L29*(1-B30)/(B32+1)*B29)</f>
        <v/>
      </c>
      <c r="Z42" s="56" t="str">
        <f>IF(OR(NOT(L29),(COLUMN()-3)-(B31+10)&lt;0,(B31+10+B32) - (COLUMN()-2) &lt;0),"",L29*(1-B30)/(B32+1)*B29)</f>
        <v/>
      </c>
      <c r="AA42" s="72" t="str">
        <f>IF(OR(NOT(L29),(COLUMN()-3)-(B31+10)&lt;0,(B31+10+B32) - (COLUMN()-2) &lt;0),"",L29*(1-B30)/(B32+1)*B29)</f>
        <v/>
      </c>
      <c r="AB42" s="72" t="str">
        <f>IF(OR(NOT(L29),(COLUMN()-3)-(B31+10)&lt;0,(B31+10+B32) - (COLUMN()-2) &lt;0),"",L29*(1-B30)/(B32+1)*B29)</f>
        <v/>
      </c>
      <c r="AC42" s="72" t="str">
        <f>IF(OR(NOT(L29),(COLUMN()-3)-(B31+10)&lt;0,(B31+10+B32) - (COLUMN()-2) &lt;0),"",L29*(1-B30)/(B32+1)*B29)</f>
        <v/>
      </c>
      <c r="AD42" s="72" t="str">
        <f>IF(OR(NOT(L29),(COLUMN()-3)-(B31+10)&lt;0,(B31+10+B32) - (COLUMN()-2) &lt;0),"",L29*(1-B30)/(B32+1)*B29)</f>
        <v/>
      </c>
      <c r="AE42" s="72" t="str">
        <f>IF(OR(NOT(L29),(COLUMN()-3)-(B31+10)&lt;0,(B31+10+B32) - (COLUMN()-2) &lt;0),"",L29*(1-B30)/(B32+1)*B29)</f>
        <v/>
      </c>
      <c r="AF42" s="72" t="str">
        <f>IF(OR(NOT(L29),(COLUMN()-3)-(B31+10)&lt;0,(B31+10+B32) - (COLUMN()-2) &lt;0),"",L29*(1-B30)/(B32+1)*B29)</f>
        <v/>
      </c>
      <c r="AG42" s="72" t="str">
        <f>IF(OR(NOT(L29),(COLUMN()-3)-(B31+10)&lt;0,(B31+10+B32) - (COLUMN()-2) &lt;0),"",L29*(1-B30)/(B32+1)*B29)</f>
        <v/>
      </c>
      <c r="AH42" s="72" t="str">
        <f>IF(OR(NOT(L29),(COLUMN()-3)-(B31+10)&lt;0,(B31+10+B32) - (COLUMN()-2) &lt;0),"",L29*(1-B30)/(B32+1)*B29)</f>
        <v/>
      </c>
      <c r="AI42" s="91"/>
      <c r="AJ42" s="91"/>
    </row>
    <row r="43" spans="1:37" hidden="1">
      <c r="A43" s="91"/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50" t="str">
        <f>IF(OR(NOT(M29),(COLUMN()-3)-(B31+11)&lt;0,(B31+11+B32) - (COLUMN()-2) &lt;0),"",M29*(1-B30)/(B32+1)*B29)</f>
        <v/>
      </c>
      <c r="O43" s="56" t="str">
        <f>IF(OR(NOT(M29),(COLUMN()-3)-(B31+11)&lt;0,(B31+11+B32) - (COLUMN()-2) &lt;0),"",M29*(1-B30)/(B32+1)*B29)</f>
        <v/>
      </c>
      <c r="P43" s="56" t="str">
        <f>IF(OR(NOT(M29),(COLUMN()-3)-(B31+11)&lt;0,(B31+11+B32) - (COLUMN()-2) &lt;0),"",M29*(1-B30)/(B32+1)*B29)</f>
        <v/>
      </c>
      <c r="Q43" s="56" t="str">
        <f>IF(OR(NOT(M29),(COLUMN()-3)-(B31+11)&lt;0,(B31+11+B32) - (COLUMN()-2) &lt;0),"",M29*(1-B30)/(B32+1)*B29)</f>
        <v/>
      </c>
      <c r="R43" s="56" t="str">
        <f>IF(OR(NOT(M29),(COLUMN()-3)-(B31+11)&lt;0,(B31+11+B32) - (COLUMN()-2) &lt;0),"",M29*(1-B30)/(B32+1)*B29)</f>
        <v/>
      </c>
      <c r="S43" s="56" t="str">
        <f>IF(OR(NOT(M29),(COLUMN()-3)-(B31+11)&lt;0,(B31+11+B32) - (COLUMN()-2) &lt;0),"",M29*(1-B30)/(B32+1)*B29)</f>
        <v/>
      </c>
      <c r="T43" s="56" t="str">
        <f>IF(OR(NOT(M29),(COLUMN()-3)-(B31+11)&lt;0,(B31+11+B32) - (COLUMN()-2) &lt;0),"",M29*(1-B30)/(B32+1)*B29)</f>
        <v/>
      </c>
      <c r="U43" s="56" t="str">
        <f>IF(OR(NOT(M29),(COLUMN()-3)-(B31+11)&lt;0,(B31+11+B32) - (COLUMN()-2) &lt;0),"",M29*(1-B30)/(B32+1)*B29)</f>
        <v/>
      </c>
      <c r="V43" s="56" t="str">
        <f>IF(OR(NOT(M29),(COLUMN()-3)-(B31+11)&lt;0,(B31+11+B32) - (COLUMN()-2) &lt;0),"",M29*(1-B30)/(B32+1)*B29)</f>
        <v/>
      </c>
      <c r="W43" s="56" t="str">
        <f>IF(OR(NOT(M29),(COLUMN()-3)-(B31+11)&lt;0,(B31+11+B32) - (COLUMN()-2) &lt;0),"",M29*(1-B30)/(B32+1)*B29)</f>
        <v/>
      </c>
      <c r="X43" s="56" t="str">
        <f>IF(OR(NOT(M29),(COLUMN()-3)-(B31+11)&lt;0,(B31+11+B32) - (COLUMN()-2) &lt;0),"",M29*(1-B30)/(B32+1)*B29)</f>
        <v/>
      </c>
      <c r="Y43" s="56" t="str">
        <f>IF(OR(NOT(M29),(COLUMN()-3)-(B31+11)&lt;0,(B31+11+B32) - (COLUMN()-2) &lt;0),"",M29*(1-B30)/(B32+1)*B29)</f>
        <v/>
      </c>
      <c r="Z43" s="56" t="str">
        <f>IF(OR(NOT(M29),(COLUMN()-3)-(B31+11)&lt;0,(B31+11+B32) - (COLUMN()-2) &lt;0),"",M29*(1-B30)/(B32+1)*B29)</f>
        <v/>
      </c>
      <c r="AA43" s="72" t="str">
        <f>IF(OR(NOT(M29),(COLUMN()-3)-(B31+11)&lt;0,(B31+11+B32) - (COLUMN()-2) &lt;0),"",M29*(1-B30)/(B32+1)*B29)</f>
        <v/>
      </c>
      <c r="AB43" s="72" t="str">
        <f>IF(OR(NOT(M29),(COLUMN()-3)-(B31+11)&lt;0,(B31+11+B32) - (COLUMN()-2) &lt;0),"",M29*(1-B30)/(B32+1)*B29)</f>
        <v/>
      </c>
      <c r="AC43" s="72" t="str">
        <f>IF(OR(NOT(M29),(COLUMN()-3)-(B31+11)&lt;0,(B31+11+B32) - (COLUMN()-2) &lt;0),"",M29*(1-B30)/(B32+1)*B29)</f>
        <v/>
      </c>
      <c r="AD43" s="72" t="str">
        <f>IF(OR(NOT(M29),(COLUMN()-3)-(B31+11)&lt;0,(B31+11+B32) - (COLUMN()-2) &lt;0),"",M29*(1-B30)/(B32+1)*B29)</f>
        <v/>
      </c>
      <c r="AE43" s="72" t="str">
        <f>IF(OR(NOT(M29),(COLUMN()-3)-(B31+11)&lt;0,(B31+11+B32) - (COLUMN()-2) &lt;0),"",M29*(1-B30)/(B32+1)*B29)</f>
        <v/>
      </c>
      <c r="AF43" s="72" t="str">
        <f>IF(OR(NOT(M29),(COLUMN()-3)-(B31+11)&lt;0,(B31+11+B32) - (COLUMN()-2) &lt;0),"",M29*(1-B30)/(B32+1)*B29)</f>
        <v/>
      </c>
      <c r="AG43" s="72" t="str">
        <f>IF(OR(NOT(M29),(COLUMN()-3)-(B31+11)&lt;0,(B31+11+B32) - (COLUMN()-2) &lt;0),"",M29*(1-B30)/(B32+1)*B29)</f>
        <v/>
      </c>
      <c r="AH43" s="72" t="str">
        <f>IF(OR(NOT(M29),(COLUMN()-3)-(B31+11)&lt;0,(B31+11+B32) - (COLUMN()-2) &lt;0),"",M29*(1-B30)/(B32+1)*B29)</f>
        <v/>
      </c>
      <c r="AI43" s="72" t="str">
        <f>IF(OR(NOT(M29),(COLUMN()-3)-(B31+11)&lt;0,(B31+11+B32) - (COLUMN()-2) &lt;0),"",M29*(1-B30)/(B32+1)*B29)</f>
        <v/>
      </c>
      <c r="AJ43" s="91"/>
    </row>
    <row r="44" spans="1:37" hidden="1">
      <c r="A44" s="91"/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56" t="str">
        <f>IF(OR(NOT(N29),(COLUMN()-3)-(B31+12)&lt;0,(B31+12+B32) - (COLUMN()-2) &lt;0),"",N29*(1-B30)/(B32+1)*B29)</f>
        <v/>
      </c>
      <c r="P44" s="56" t="str">
        <f>IF(OR(NOT(N29),(COLUMN()-3)-(B31+12)&lt;0,(B31+12+B32) - (COLUMN()-2) &lt;0),"",N29*(1-B30)/(B32+1)*B29)</f>
        <v/>
      </c>
      <c r="Q44" s="56" t="str">
        <f>IF(OR(NOT(N29),(COLUMN()-3)-(B31+12)&lt;0,(B31+12+B32) - (COLUMN()-2) &lt;0),"",N29*(1-B30)/(B32+1)*B29)</f>
        <v/>
      </c>
      <c r="R44" s="56" t="str">
        <f>IF(OR(NOT(N29),(COLUMN()-3)-(B31+12)&lt;0,(B31+12+B32) - (COLUMN()-2) &lt;0),"",N29*(1-B30)/(B32+1)*B29)</f>
        <v/>
      </c>
      <c r="S44" s="56" t="str">
        <f>IF(OR(NOT(N29),(COLUMN()-3)-(B31+12)&lt;0,(B31+12+B32) - (COLUMN()-2) &lt;0),"",N29*(1-B30)/(B32+1)*B29)</f>
        <v/>
      </c>
      <c r="T44" s="56" t="str">
        <f>IF(OR(NOT(N29),(COLUMN()-3)-(B31+12)&lt;0,(B31+12+B32) - (COLUMN()-2) &lt;0),"",N29*(1-B30)/(B32+1)*B29)</f>
        <v/>
      </c>
      <c r="U44" s="56" t="str">
        <f>IF(OR(NOT(N29),(COLUMN()-3)-(B31+12)&lt;0,(B31+12+B32) - (COLUMN()-2) &lt;0),"",N29*(1-B30)/(B32+1)*B29)</f>
        <v/>
      </c>
      <c r="V44" s="56" t="str">
        <f>IF(OR(NOT(N29),(COLUMN()-3)-(B31+12)&lt;0,(B31+12+B32) - (COLUMN()-2) &lt;0),"",N29*(1-B30)/(B32+1)*B29)</f>
        <v/>
      </c>
      <c r="W44" s="56" t="str">
        <f>IF(OR(NOT(N29),(COLUMN()-3)-(B31+12)&lt;0,(B31+12+B32) - (COLUMN()-2) &lt;0),"",N29*(1-B30)/(B32+1)*B29)</f>
        <v/>
      </c>
      <c r="X44" s="56" t="str">
        <f>IF(OR(NOT(N29),(COLUMN()-3)-(B31+12)&lt;0,(B31+12+B32) - (COLUMN()-2) &lt;0),"",N29*(1-B30)/(B32+1)*B29)</f>
        <v/>
      </c>
      <c r="Y44" s="56" t="str">
        <f>IF(OR(NOT(N29),(COLUMN()-3)-(B31+12)&lt;0,(B31+12+B32) - (COLUMN()-2) &lt;0),"",N29*(1-B30)/(B32+1)*B29)</f>
        <v/>
      </c>
      <c r="Z44" s="56" t="str">
        <f>IF(OR(NOT(N29),(COLUMN()-3)-(B31+12)&lt;0,(B31+12+B32) - (COLUMN()-2) &lt;0),"",N29*(1-B30)/(B32+1)*B29)</f>
        <v/>
      </c>
      <c r="AA44" s="72" t="str">
        <f>IF(OR(NOT(N29),(COLUMN()-3)-(B31+12)&lt;0,(B31+12+B32) - (COLUMN()-2) &lt;0),"",N29*(1-B30)/(B32+1)*B29)</f>
        <v/>
      </c>
      <c r="AB44" s="72" t="str">
        <f>IF(OR(NOT(N29),(COLUMN()-3)-(B31+12)&lt;0,(B31+12+B32) - (COLUMN()-2) &lt;0),"",N29*(1-B30)/(B32+1)*B29)</f>
        <v/>
      </c>
      <c r="AC44" s="72" t="str">
        <f>IF(OR(NOT(N29),(COLUMN()-3)-(B31+12)&lt;0,(B31+12+B32) - (COLUMN()-2) &lt;0),"",N29*(1-B30)/(B32+1)*B29)</f>
        <v/>
      </c>
      <c r="AD44" s="72" t="str">
        <f>IF(OR(NOT(N29),(COLUMN()-3)-(B31+12)&lt;0,(B31+12+B32) - (COLUMN()-2) &lt;0),"",N29*(1-B30)/(B32+1)*B29)</f>
        <v/>
      </c>
      <c r="AE44" s="72" t="str">
        <f>IF(OR(NOT(N29),(COLUMN()-3)-(B31+12)&lt;0,(B31+12+B32) - (COLUMN()-2) &lt;0),"",N29*(1-B30)/(B32+1)*B29)</f>
        <v/>
      </c>
      <c r="AF44" s="72" t="str">
        <f>IF(OR(NOT(N29),(COLUMN()-3)-(B31+12)&lt;0,(B31+12+B32) - (COLUMN()-2) &lt;0),"",N29*(1-B30)/(B32+1)*B29)</f>
        <v/>
      </c>
      <c r="AG44" s="72" t="str">
        <f>IF(OR(NOT(N29),(COLUMN()-3)-(B31+12)&lt;0,(B31+12+B32) - (COLUMN()-2) &lt;0),"",N29*(1-B30)/(B32+1)*B29)</f>
        <v/>
      </c>
      <c r="AH44" s="72" t="str">
        <f>IF(OR(NOT(N29),(COLUMN()-3)-(B31+12)&lt;0,(B31+12+B32) - (COLUMN()-2) &lt;0),"",N29*(1-B30)/(B32+1)*B29)</f>
        <v/>
      </c>
      <c r="AI44" s="72" t="str">
        <f>IF(OR(NOT(N29),(COLUMN()-3)-(B31+12)&lt;0,(B31+12+B32) - (COLUMN()-2) &lt;0),"",N29*(1-B30)/(B32+1)*B29)</f>
        <v/>
      </c>
      <c r="AJ44" s="72" t="str">
        <f>IF(OR(NOT(N29),(COLUMN()-3)-(B31+12)&lt;0,(B31+12+B32) - (COLUMN()-2) &lt;0),"",N29*(1-B30)/(B32+1)*B29)</f>
        <v/>
      </c>
    </row>
    <row r="45" spans="1:37">
      <c r="A45" s="90" t="s">
        <v>85</v>
      </c>
      <c r="B45" s="52"/>
      <c r="C45" s="92" t="str">
        <f>IF(-SUM(C30:C31)*B45,-SUM(C30:C31)*B45,"")</f>
        <v/>
      </c>
      <c r="D45" s="92" t="str">
        <f>IF(-SUM(D30:D32)*B45,-SUM(D30:D32)*B45,"")</f>
        <v/>
      </c>
      <c r="E45" s="92" t="str">
        <f>IF(-SUM(E30:E32)*B45,-SUM(E30:E32)*B45,"")</f>
        <v/>
      </c>
      <c r="F45" s="92" t="str">
        <f>IF(-SUM(F30:F32)*B45,-SUM(F30:F32)*B45,"")</f>
        <v/>
      </c>
      <c r="G45" s="92" t="str">
        <f>IF(-SUM(G30:G32)*B45,-SUM(G30:G32)*B45,"")</f>
        <v/>
      </c>
      <c r="H45" s="92" t="str">
        <f>IF(-SUM(H30:H32)*B45,-SUM(H30:H32)*B45,"")</f>
        <v/>
      </c>
      <c r="I45" s="92" t="str">
        <f>IF(-SUM(I30:I32)*B45,-SUM(I30:I32)*B45,"")</f>
        <v/>
      </c>
      <c r="J45" s="92" t="str">
        <f>IF(-SUM(J30:J32)*B45,-SUM(J30:J32)*B45,"")</f>
        <v/>
      </c>
      <c r="K45" s="92" t="str">
        <f>IF(-SUM(K30:K32)*B45,-SUM(K30:K32)*B45,"")</f>
        <v/>
      </c>
      <c r="L45" s="92" t="str">
        <f>IF(-SUM(L30:L32)*B45,-SUM(L30:L32)*B45,"")</f>
        <v/>
      </c>
      <c r="M45" s="92" t="str">
        <f>IF(-SUM(M30:M32)*B45,-SUM(M30:M32)*B45,"")</f>
        <v/>
      </c>
      <c r="N45" s="92" t="str">
        <f>IF(-SUM(N30:N32)*B45,-SUM(N30:N32)*B45,"")</f>
        <v/>
      </c>
      <c r="O45" s="92" t="str">
        <f>IF(-SUM(O31:O32)*B45,-SUM(O31:O32)*B45,"")</f>
        <v/>
      </c>
      <c r="P45" s="92" t="str">
        <f>IF(-SUM(P31:P32)*B45,-SUM(P31:P32)*B45,"")</f>
        <v/>
      </c>
      <c r="Q45" s="92" t="str">
        <f>IF(-SUM(Q31:Q32)*B45,-SUM(Q31:Q32)*B45,"")</f>
        <v/>
      </c>
      <c r="R45" s="92" t="str">
        <f>IF(-SUM(R31:R32)*B45,-SUM(R31:R32)*B45,"")</f>
        <v/>
      </c>
      <c r="S45" s="92" t="str">
        <f>IF(-SUM(S31:S32)*B45,-SUM(S31:S32)*B45,"")</f>
        <v/>
      </c>
      <c r="T45" s="92" t="str">
        <f>IF(-SUM(T31:T32)*B45,-SUM(T31:T32)*B45,"")</f>
        <v/>
      </c>
      <c r="U45" s="92" t="str">
        <f>IF(-SUM(U31:U32)*B45,-SUM(U31:U32)*B45,"")</f>
        <v/>
      </c>
      <c r="V45" s="92" t="str">
        <f>IF(-SUM(V31:V32)*B45,-SUM(V31:V32)*B45,"")</f>
        <v/>
      </c>
      <c r="W45" s="92" t="str">
        <f>IF(-SUM(W31:W32)*B45,-SUM(W31:W32)*B45,"")</f>
        <v/>
      </c>
      <c r="X45" s="92" t="str">
        <f>IF(-SUM(X31:X32)*B45,-SUM(X31:X32)*B45,"")</f>
        <v/>
      </c>
      <c r="Y45" s="92" t="str">
        <f>IF(-SUM(Y31:Y32)*B45,-SUM(Y31:Y32)*B45,"")</f>
        <v/>
      </c>
      <c r="Z45" s="92" t="str">
        <f>IF(-SUM(Z32)*B45,-Z32*B45,"")</f>
        <v/>
      </c>
      <c r="AA45" s="92" t="str">
        <f>IF(-SUM(AA32),-AA32*B45,"")</f>
        <v/>
      </c>
      <c r="AB45" s="92" t="str">
        <f>IF(-SUM(AB32)*B45,-AB32*B45,"")</f>
        <v/>
      </c>
      <c r="AC45" s="92" t="str">
        <f>IF(-SUM(AC32)*B45,-AC32*B45,"")</f>
        <v/>
      </c>
      <c r="AD45" s="92" t="str">
        <f>IF(-SUM(AD32)*B45,-AD32*B45,"")</f>
        <v/>
      </c>
      <c r="AE45" s="92" t="str">
        <f>IF(-SUM(AE32)*B45,-AE32*B45,"")</f>
        <v/>
      </c>
      <c r="AF45" s="92" t="str">
        <f>IF(-SUM(AF32)*B45,-AF32*B45,"")</f>
        <v/>
      </c>
      <c r="AG45" s="92" t="str">
        <f>IF(-SUM(AG32)*B45,-AG32*B45,"")</f>
        <v/>
      </c>
      <c r="AH45" s="92" t="str">
        <f>IF(-SUM(AH32)*B45,-AH32*B45,"")</f>
        <v/>
      </c>
      <c r="AI45" s="92" t="str">
        <f>IF(-SUM(AI32)*B45,-AI32*B45,"")</f>
        <v/>
      </c>
      <c r="AJ45" s="92" t="str">
        <f>IF(-SUM(AJ32)*B45,-AJ32*B45,"")</f>
        <v/>
      </c>
      <c r="AK45" s="1"/>
    </row>
    <row r="46" spans="1:37" ht="15" thickBot="1">
      <c r="A46" s="90" t="s">
        <v>86</v>
      </c>
      <c r="B46" s="4"/>
      <c r="C46" s="92" t="str">
        <f>IF(-B46*C29,-B46*C29,"")</f>
        <v/>
      </c>
      <c r="D46" s="92" t="str">
        <f>IF(-B46*D29,-B46*D29,"")</f>
        <v/>
      </c>
      <c r="E46" s="92" t="str">
        <f>IF(-B46*E29,-B46*E29,"")</f>
        <v/>
      </c>
      <c r="F46" s="92" t="str">
        <f>IF(-B46*F29,-B46*F29,"")</f>
        <v/>
      </c>
      <c r="G46" s="92" t="str">
        <f>IF(-B46*G29,-B46*G29,"")</f>
        <v/>
      </c>
      <c r="H46" s="92" t="str">
        <f>IF(-B46*H29,-B46*H29,"")</f>
        <v/>
      </c>
      <c r="I46" s="92" t="str">
        <f>IF(-B46*I29,-B46*I29,"")</f>
        <v/>
      </c>
      <c r="J46" s="92" t="str">
        <f>IF(-B46*J29,-B46*J29,"")</f>
        <v/>
      </c>
      <c r="K46" s="92" t="str">
        <f>IF(-B46*K29,-B46*K29,"")</f>
        <v/>
      </c>
      <c r="L46" s="92" t="str">
        <f>IF(-B46*L29,-B46*L29,"")</f>
        <v/>
      </c>
      <c r="M46" s="92" t="str">
        <f>IF(-B46*M29,-B46*M29,"")</f>
        <v/>
      </c>
      <c r="N46" s="92" t="str">
        <f>IF(-B46*N29,-B46*N29,"")</f>
        <v/>
      </c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1"/>
    </row>
    <row r="47" spans="1:37" ht="18.600000000000001" thickBot="1">
      <c r="B47" s="96" t="s">
        <v>87</v>
      </c>
      <c r="C47" s="93">
        <f>SUM(C30:C31)+SUM(C45:C46)</f>
        <v>0</v>
      </c>
      <c r="D47" s="93">
        <f t="shared" ref="D47:N47" si="10">SUM(D30:D32)+SUM(D45:D46)</f>
        <v>0</v>
      </c>
      <c r="E47" s="93">
        <f t="shared" si="10"/>
        <v>0</v>
      </c>
      <c r="F47" s="93">
        <f t="shared" si="10"/>
        <v>0</v>
      </c>
      <c r="G47" s="93">
        <f t="shared" si="10"/>
        <v>0</v>
      </c>
      <c r="H47" s="93">
        <f t="shared" si="10"/>
        <v>0</v>
      </c>
      <c r="I47" s="93">
        <f t="shared" si="10"/>
        <v>0</v>
      </c>
      <c r="J47" s="93">
        <f t="shared" si="10"/>
        <v>0</v>
      </c>
      <c r="K47" s="93">
        <f t="shared" si="10"/>
        <v>0</v>
      </c>
      <c r="L47" s="93">
        <f t="shared" si="10"/>
        <v>0</v>
      </c>
      <c r="M47" s="93">
        <f t="shared" si="10"/>
        <v>0</v>
      </c>
      <c r="N47" s="93">
        <f t="shared" si="10"/>
        <v>0</v>
      </c>
      <c r="O47" s="120">
        <f t="shared" ref="O47:Y47" si="11">SUM(O31:O32)+SUM(O45)</f>
        <v>0</v>
      </c>
      <c r="P47" s="120">
        <f t="shared" si="11"/>
        <v>0</v>
      </c>
      <c r="Q47" s="120">
        <f t="shared" si="11"/>
        <v>0</v>
      </c>
      <c r="R47" s="120">
        <f t="shared" si="11"/>
        <v>0</v>
      </c>
      <c r="S47" s="120">
        <f t="shared" si="11"/>
        <v>0</v>
      </c>
      <c r="T47" s="120">
        <f t="shared" si="11"/>
        <v>0</v>
      </c>
      <c r="U47" s="120">
        <f t="shared" si="11"/>
        <v>0</v>
      </c>
      <c r="V47" s="120">
        <f t="shared" si="11"/>
        <v>0</v>
      </c>
      <c r="W47" s="120">
        <f t="shared" si="11"/>
        <v>0</v>
      </c>
      <c r="X47" s="120">
        <f t="shared" si="11"/>
        <v>0</v>
      </c>
      <c r="Y47" s="120">
        <f t="shared" si="11"/>
        <v>0</v>
      </c>
      <c r="Z47" s="120">
        <f t="shared" ref="Z47:AJ47" si="12">SUM(Z32)+SUM(Z45)</f>
        <v>0</v>
      </c>
      <c r="AA47" s="94">
        <f t="shared" si="12"/>
        <v>0</v>
      </c>
      <c r="AB47" s="94">
        <f t="shared" si="12"/>
        <v>0</v>
      </c>
      <c r="AC47" s="94">
        <f t="shared" si="12"/>
        <v>0</v>
      </c>
      <c r="AD47" s="94">
        <f t="shared" si="12"/>
        <v>0</v>
      </c>
      <c r="AE47" s="94">
        <f t="shared" si="12"/>
        <v>0</v>
      </c>
      <c r="AF47" s="94">
        <f t="shared" si="12"/>
        <v>0</v>
      </c>
      <c r="AG47" s="94">
        <f t="shared" si="12"/>
        <v>0</v>
      </c>
      <c r="AH47" s="94">
        <f t="shared" si="12"/>
        <v>0</v>
      </c>
      <c r="AI47" s="94">
        <f t="shared" si="12"/>
        <v>0</v>
      </c>
      <c r="AJ47" s="94">
        <f t="shared" si="12"/>
        <v>0</v>
      </c>
      <c r="AK47" s="1"/>
    </row>
    <row r="49" spans="1:38">
      <c r="A49" s="86" t="str">
        <f>IF('Reverse Engineering Valuation'!A36 = "","    ---    ",'Reverse Engineering Valuation'!A36)</f>
        <v>Kilter Roller</v>
      </c>
      <c r="B49" s="87" t="str">
        <f>IF(ROUND(B55,1)&gt;0,CONCATENATE("Under by ",ROUND(B55,1)), IF(ROUND(B55,1)&lt;0, CONCATENATE("OVER BY ",ROUND(B55,1)), "You Matched"))</f>
        <v>Under by 400</v>
      </c>
      <c r="C49" s="85">
        <f>C28</f>
        <v>45292</v>
      </c>
      <c r="D49" s="85">
        <f t="shared" ref="D49:N49" si="13">D28</f>
        <v>45323</v>
      </c>
      <c r="E49" s="85">
        <f t="shared" si="13"/>
        <v>45352</v>
      </c>
      <c r="F49" s="85">
        <f t="shared" si="13"/>
        <v>45383</v>
      </c>
      <c r="G49" s="85">
        <f t="shared" si="13"/>
        <v>45413</v>
      </c>
      <c r="H49" s="85">
        <f t="shared" si="13"/>
        <v>45444</v>
      </c>
      <c r="I49" s="85">
        <f t="shared" si="13"/>
        <v>45474</v>
      </c>
      <c r="J49" s="85">
        <f t="shared" si="13"/>
        <v>45505</v>
      </c>
      <c r="K49" s="85">
        <f t="shared" si="13"/>
        <v>45536</v>
      </c>
      <c r="L49" s="85">
        <f t="shared" si="13"/>
        <v>45566</v>
      </c>
      <c r="M49" s="85">
        <f t="shared" si="13"/>
        <v>45597</v>
      </c>
      <c r="N49" s="85">
        <f t="shared" si="13"/>
        <v>45627</v>
      </c>
      <c r="O49" s="121" t="str">
        <f t="shared" ref="O49:AJ49" si="14" xml:space="preserve">  CONCATENATE("Ext +", COLUMN()-14)</f>
        <v>Ext +1</v>
      </c>
      <c r="P49" s="121" t="str">
        <f t="shared" si="14"/>
        <v>Ext +2</v>
      </c>
      <c r="Q49" s="121" t="str">
        <f t="shared" si="14"/>
        <v>Ext +3</v>
      </c>
      <c r="R49" s="121" t="str">
        <f t="shared" si="14"/>
        <v>Ext +4</v>
      </c>
      <c r="S49" s="121" t="str">
        <f t="shared" si="14"/>
        <v>Ext +5</v>
      </c>
      <c r="T49" s="121" t="str">
        <f t="shared" si="14"/>
        <v>Ext +6</v>
      </c>
      <c r="U49" s="121" t="str">
        <f t="shared" si="14"/>
        <v>Ext +7</v>
      </c>
      <c r="V49" s="121" t="str">
        <f t="shared" si="14"/>
        <v>Ext +8</v>
      </c>
      <c r="W49" s="121" t="str">
        <f t="shared" si="14"/>
        <v>Ext +9</v>
      </c>
      <c r="X49" s="121" t="str">
        <f t="shared" si="14"/>
        <v>Ext +10</v>
      </c>
      <c r="Y49" s="121" t="str">
        <f t="shared" si="14"/>
        <v>Ext +11</v>
      </c>
      <c r="Z49" s="121" t="str">
        <f t="shared" si="14"/>
        <v>Ext +12</v>
      </c>
      <c r="AA49" s="88" t="str">
        <f t="shared" si="14"/>
        <v>Ext +13</v>
      </c>
      <c r="AB49" s="88" t="str">
        <f t="shared" si="14"/>
        <v>Ext +14</v>
      </c>
      <c r="AC49" s="88" t="str">
        <f t="shared" si="14"/>
        <v>Ext +15</v>
      </c>
      <c r="AD49" s="88" t="str">
        <f t="shared" si="14"/>
        <v>Ext +16</v>
      </c>
      <c r="AE49" s="88" t="str">
        <f t="shared" si="14"/>
        <v>Ext +17</v>
      </c>
      <c r="AF49" s="88" t="str">
        <f t="shared" si="14"/>
        <v>Ext +18</v>
      </c>
      <c r="AG49" s="88" t="str">
        <f t="shared" si="14"/>
        <v>Ext +19</v>
      </c>
      <c r="AH49" s="88" t="str">
        <f t="shared" si="14"/>
        <v>Ext +20</v>
      </c>
      <c r="AI49" s="88" t="str">
        <f t="shared" si="14"/>
        <v>Ext +21</v>
      </c>
      <c r="AJ49" s="88" t="str">
        <f t="shared" si="14"/>
        <v>Ext +22</v>
      </c>
    </row>
    <row r="50" spans="1:38">
      <c r="A50" s="90" t="str">
        <f>A29</f>
        <v xml:space="preserve">Number of customers @ </v>
      </c>
      <c r="B50" s="50">
        <f>'Reverse Engineering Valuation'!B36</f>
        <v>69.989999999999995</v>
      </c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1"/>
      <c r="AL50" s="1"/>
    </row>
    <row r="51" spans="1:38">
      <c r="A51" s="90" t="s">
        <v>80</v>
      </c>
      <c r="B51" s="52"/>
      <c r="C51" s="50" t="str">
        <f>IF(C50*B51*B50,C50*B51*B50,"")</f>
        <v/>
      </c>
      <c r="D51" s="50" t="str">
        <f>IF(D50*B51*B50,D50*B51*B50,"")</f>
        <v/>
      </c>
      <c r="E51" s="50" t="str">
        <f>IF(E50*B51*B50,E50*B51*B50,"")</f>
        <v/>
      </c>
      <c r="F51" s="50" t="str">
        <f>IF(F50*B51*B50,F50*B51*B50,"")</f>
        <v/>
      </c>
      <c r="G51" s="50" t="str">
        <f>IF(G50*B51*B50,G50*B51*B50,"")</f>
        <v/>
      </c>
      <c r="H51" s="50" t="str">
        <f>IF(H50*B51*B50,H50*B51*B50,"")</f>
        <v/>
      </c>
      <c r="I51" s="50" t="str">
        <f>IF(I50*B51*B50,I50*B51*B50,"")</f>
        <v/>
      </c>
      <c r="J51" s="50" t="str">
        <f>IF(J50*B51*B50,J50*B51*B50,"")</f>
        <v/>
      </c>
      <c r="K51" s="50" t="str">
        <f>IF(K50*B51*B50,K50*B51*B50,"")</f>
        <v/>
      </c>
      <c r="L51" s="50" t="str">
        <f>IF(L50*B51*B50,L50*B51*B50,"")</f>
        <v/>
      </c>
      <c r="M51" s="50" t="str">
        <f>IF(M50*B51*B50,M50*B51*B50,"")</f>
        <v/>
      </c>
      <c r="N51" s="50" t="str">
        <f>IF(N50*B51*B50,N50*B51*B50,"")</f>
        <v/>
      </c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1"/>
    </row>
    <row r="52" spans="1:38">
      <c r="A52" s="90" t="s">
        <v>81</v>
      </c>
      <c r="B52" s="53"/>
      <c r="C52" s="50" t="str">
        <f>IF(IF((COLUMN()-2-B52)&gt;0,INDEX(C50:Z50,1, (COLUMN()-2-B52)),0)&gt;=1,(B50* IF((COLUMN()-2-B52)&gt;0,INDEX(C50:Z50,1, (COLUMN()-2-B52)),0)*(1-B51))/(B53+1),"")</f>
        <v/>
      </c>
      <c r="D52" s="50" t="str">
        <f>IF(IF((COLUMN()-2-B52)&gt;0,INDEX(C50:Z50,1, (COLUMN()-2-B52)),0)&gt;=1,(B50* IF((COLUMN()-2-B52)&gt;0,INDEX(C50:Z50,1, (COLUMN()-2-B52)),0)*(1-B51))/(B53+1),"")</f>
        <v/>
      </c>
      <c r="E52" s="50" t="str">
        <f>IF(IF((COLUMN()-2-B52)&gt;0,INDEX(C50:Z50,1, (COLUMN()-2-B52)),0)&gt;=1,(B50* IF((COLUMN()-2-B52)&gt;0,INDEX(C50:Z50,1, (COLUMN()-2-B52)),0)*(1-B51))/(B53+1),"")</f>
        <v/>
      </c>
      <c r="F52" s="50" t="str">
        <f>IF(IF((COLUMN()-2-B52)&gt;0,INDEX(C50:Z50,1, (COLUMN()-2-B52)),0)&gt;=1,(B50* IF((COLUMN()-2-B52)&gt;0,INDEX(C50:Z50,1, (COLUMN()-2-B52)),0)*(1-B51))/(B53+1),"")</f>
        <v/>
      </c>
      <c r="G52" s="50" t="str">
        <f>IF(IF((COLUMN()-2-B52)&gt;0,INDEX(C50:Z50,1, (COLUMN()-2-B52)),0)&gt;=1,(B50* IF((COLUMN()-2-B52)&gt;0,INDEX(C50:Z50,1, (COLUMN()-2-B52)),0)*(1-B51))/(B53+1),"")</f>
        <v/>
      </c>
      <c r="H52" s="50" t="str">
        <f>IF(IF((COLUMN()-2-B52)&gt;0,INDEX(C50:Z50,1, (COLUMN()-2-B52)),0)&gt;=1,(B50* IF((COLUMN()-2-B52)&gt;0,INDEX(C50:Z50,1, (COLUMN()-2-B52)),0)*(1-B51))/(B53+1),"")</f>
        <v/>
      </c>
      <c r="I52" s="50" t="str">
        <f>IF(IF((COLUMN()-2-B52)&gt;0,INDEX(C50:Z50,1, (COLUMN()-2-B52)),0)&gt;=1,(B50* IF((COLUMN()-2-B52)&gt;0,INDEX(C50:Z50,1, (COLUMN()-2-B52)),0)*(1-B51))/(B53+1),"")</f>
        <v/>
      </c>
      <c r="J52" s="50" t="str">
        <f>IF(IF((COLUMN()-2-B52)&gt;0,INDEX(C50:Z50,1, (COLUMN()-2-B52)),0)&gt;=1,(B50* IF((COLUMN()-2-B52)&gt;0,INDEX(C50:Z50,1, (COLUMN()-2-B52)),0)*(1-B51))/(B53+1),"")</f>
        <v/>
      </c>
      <c r="K52" s="50" t="str">
        <f>IF(IF((COLUMN()-2-B52)&gt;0,INDEX(C50:Z50,1, (COLUMN()-2-B52)),0)&gt;=1,(B50* IF((COLUMN()-2-B52)&gt;0,INDEX(C50:Z50,1, (COLUMN()-2-B52)),0)*(1-B51))/(B53+1),"")</f>
        <v/>
      </c>
      <c r="L52" s="50" t="str">
        <f>IF(IF((COLUMN()-2-B52)&gt;0,INDEX(C50:Z50,1, (COLUMN()-2-B52)),0)&gt;=1,(B50* IF((COLUMN()-2-B52)&gt;0,INDEX(C50:Z50,1, (COLUMN()-2-B52)),0)*(1-B51))/(B53+1),"")</f>
        <v/>
      </c>
      <c r="M52" s="50" t="str">
        <f>IF(IF((COLUMN()-2-B52)&gt;0,INDEX(C50:Z50,1, (COLUMN()-2-B52)),0)&gt;=1,(B50* IF((COLUMN()-2-B52)&gt;0,INDEX(C50:Z50,1, (COLUMN()-2-B52)),0)*(1-B51))/(B53+1),"")</f>
        <v/>
      </c>
      <c r="N52" s="50" t="str">
        <f>IF(IF((COLUMN()-2-B52)&gt;0,INDEX(C50:Z50,1, (COLUMN()-2-B52)),0)&gt;=1,(B50* IF((COLUMN()-2-B52)&gt;0,INDEX(C50:Z50,1, (COLUMN()-2-B52)),0)*(1-B51))/(B53+1),"")</f>
        <v/>
      </c>
      <c r="O52" s="56" t="str">
        <f>IF(IF((COLUMN()-2-B52)&gt;0,INDEX(C50:Z50,1, (COLUMN()-2-B52)),0)&gt;=1,(B50* IF((COLUMN()-2-B52)&gt;0,INDEX(C50:Z50,1, (COLUMN()-2-B52)),0)*(1-B51))/(B53+1),"")</f>
        <v/>
      </c>
      <c r="P52" s="56" t="str">
        <f>IF(IF((COLUMN()-2-B52)&gt;0,INDEX(C50:Z50,1, (COLUMN()-2-B52)),0)&gt;=1,(B50* IF((COLUMN()-2-B52)&gt;0,INDEX(C50:Z50,1, (COLUMN()-2-B52)),0)*(1-B51))/(B53+1),"")</f>
        <v/>
      </c>
      <c r="Q52" s="56" t="str">
        <f>IF(IF((COLUMN()-2-B52)&gt;0,INDEX(C50:Z50,1, (COLUMN()-2-B52)),0)&gt;=1,(B50* IF((COLUMN()-2-B52)&gt;0,INDEX(C50:Z50,1, (COLUMN()-2-B52)),0)*(1-B51))/(B53+1),"")</f>
        <v/>
      </c>
      <c r="R52" s="56" t="str">
        <f>IF(IF((COLUMN()-2-B52)&gt;0,INDEX(C50:Z50,1, (COLUMN()-2-B52)),0)&gt;=1,(B50* IF((COLUMN()-2-B52)&gt;0,INDEX(C50:Z50,1, (COLUMN()-2-B52)),0)*(1-B51))/(B53+1),"")</f>
        <v/>
      </c>
      <c r="S52" s="56" t="str">
        <f>IF(IF((COLUMN()-2-B52)&gt;0,INDEX(C50:Z50,1, (COLUMN()-2-B52)),0)&gt;=1,(B50* IF((COLUMN()-2-B52)&gt;0,INDEX(C50:Z50,1, (COLUMN()-2-B52)),0)*(1-B51))/(B53+1),"")</f>
        <v/>
      </c>
      <c r="T52" s="56" t="str">
        <f>IF(IF((COLUMN()-2-B52)&gt;0,INDEX(C50:Z50,1, (COLUMN()-2-B52)),0)&gt;=1,(B50* IF((COLUMN()-2-B52)&gt;0,INDEX(C50:Z50,1, (COLUMN()-2-B52)),0)*(1-B51))/(B53+1),"")</f>
        <v/>
      </c>
      <c r="U52" s="56" t="str">
        <f>IF(IF((COLUMN()-2-B52)&gt;0,INDEX(C50:Z50,1, (COLUMN()-2-B52)),0)&gt;=1,(B50* IF((COLUMN()-2-B52)&gt;0,INDEX(C50:Z50,1, (COLUMN()-2-B52)),0)*(1-B51))/(B53+1),"")</f>
        <v/>
      </c>
      <c r="V52" s="56" t="str">
        <f>IF(IF((COLUMN()-2-B52)&gt;0,INDEX(C50:Z50,1, (COLUMN()-2-B52)),0)&gt;=1,(B50* IF((COLUMN()-2-B52)&gt;0,INDEX(C50:Z50,1, (COLUMN()-2-B52)),0)*(1-B51))/(B53+1),"")</f>
        <v/>
      </c>
      <c r="W52" s="56" t="str">
        <f>IF(IF((COLUMN()-2-B52)&gt;0,INDEX(C50:Z50,1, (COLUMN()-2-B52)),0)&gt;=1,(B50* IF((COLUMN()-2-B52)&gt;0,INDEX(C50:Z50,1, (COLUMN()-2-B52)),0)*(1-B51))/(B53+1),"")</f>
        <v/>
      </c>
      <c r="X52" s="56" t="str">
        <f>IF(IF((COLUMN()-2-B52)&gt;0,INDEX(C50:Z50,1, (COLUMN()-2-B52)),0)&gt;=1,(B50* IF((COLUMN()-2-B52)&gt;0,INDEX(C50:Z50,1, (COLUMN()-2-B52)),0)*(1-B51))/(B53+1),"")</f>
        <v/>
      </c>
      <c r="Y52" s="56" t="str">
        <f>IF(IF((COLUMN()-2-B52)&gt;0,INDEX(C50:Z50,1, (COLUMN()-2-B52)),0)&gt;=1,(B50* IF((COLUMN()-2-B52)&gt;0,INDEX(C50:Z50,1, (COLUMN()-2-B52)),0)*(1-B51))/(B53+1),"")</f>
        <v/>
      </c>
      <c r="Z52" s="91" t="str">
        <f>IF(IF((COLUMN()-2-B52)&gt;0,INDEX(C50:Z50,1, (COLUMN()-2-B52)),0)&gt;=1,(B50* IF((COLUMN()-2-B52)&gt;0,INDEX(C50:Z50,1, (COLUMN()-2-B52)),0)*(1-B51))/(B53+1),"")</f>
        <v/>
      </c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1"/>
    </row>
    <row r="53" spans="1:38">
      <c r="A53" s="90" t="s">
        <v>82</v>
      </c>
      <c r="B53" s="53"/>
      <c r="C53" s="91"/>
      <c r="D53" s="50" t="str">
        <f>IF(SUM(D54),SUM(D54),"")</f>
        <v/>
      </c>
      <c r="E53" s="50" t="str">
        <f>IF(SUM(E54:E55),SUM(E54:E55),"")</f>
        <v/>
      </c>
      <c r="F53" s="50" t="str">
        <f>IF(SUM(F54:F56),SUM(F54:F56),"")</f>
        <v/>
      </c>
      <c r="G53" s="50" t="str">
        <f>IF(SUM(G54:G57),SUM(G54:G57),"")</f>
        <v/>
      </c>
      <c r="H53" s="50" t="str">
        <f>IF(SUM(H54:H58),SUM(H54:H58),"")</f>
        <v/>
      </c>
      <c r="I53" s="50" t="str">
        <f>IF(SUM(I54:I59),SUM(I54:I59),"")</f>
        <v/>
      </c>
      <c r="J53" s="50" t="str">
        <f>IF(SUM(J54:J60),SUM(J54:J60),"")</f>
        <v/>
      </c>
      <c r="K53" s="50" t="str">
        <f>IF(SUM(K54:K61),SUM(K54:K61),"")</f>
        <v/>
      </c>
      <c r="L53" s="50" t="str">
        <f>IF(SUM(L54:L62),SUM(L54:L62),"")</f>
        <v/>
      </c>
      <c r="M53" s="50" t="str">
        <f>IF(SUM(M54:M63),SUM(M54:M63),"")</f>
        <v/>
      </c>
      <c r="N53" s="50" t="str">
        <f>IF(SUM(N54:N64),SUM(N54:N64),"")</f>
        <v/>
      </c>
      <c r="O53" s="56" t="str">
        <f t="shared" ref="O53:Z53" si="15">IF(SUM(O54:O65),SUM(O54:O65),"")</f>
        <v/>
      </c>
      <c r="P53" s="56" t="str">
        <f t="shared" si="15"/>
        <v/>
      </c>
      <c r="Q53" s="56" t="str">
        <f t="shared" si="15"/>
        <v/>
      </c>
      <c r="R53" s="56" t="str">
        <f t="shared" si="15"/>
        <v/>
      </c>
      <c r="S53" s="56" t="str">
        <f t="shared" si="15"/>
        <v/>
      </c>
      <c r="T53" s="56" t="str">
        <f t="shared" si="15"/>
        <v/>
      </c>
      <c r="U53" s="56" t="str">
        <f t="shared" si="15"/>
        <v/>
      </c>
      <c r="V53" s="56" t="str">
        <f t="shared" si="15"/>
        <v/>
      </c>
      <c r="W53" s="56" t="str">
        <f t="shared" si="15"/>
        <v/>
      </c>
      <c r="X53" s="56" t="str">
        <f t="shared" si="15"/>
        <v/>
      </c>
      <c r="Y53" s="56" t="str">
        <f t="shared" si="15"/>
        <v/>
      </c>
      <c r="Z53" s="56" t="str">
        <f t="shared" si="15"/>
        <v/>
      </c>
      <c r="AA53" s="72" t="str">
        <f>IF(SUM(AA56:AA65),SUM(AA56:AA65),"")</f>
        <v/>
      </c>
      <c r="AB53" s="72" t="str">
        <f>IF(SUM(AB57:AB65),SUM(AB57:AB65),"")</f>
        <v/>
      </c>
      <c r="AC53" s="72" t="str">
        <f>IF(SUM(AC58:AC65),SUM(AC58:AC65),"")</f>
        <v/>
      </c>
      <c r="AD53" s="72" t="str">
        <f>IF(SUM(AD59:AD65),SUM(AD59:AD65),"")</f>
        <v/>
      </c>
      <c r="AE53" s="72" t="str">
        <f>IF(SUM(AE60:AE65),SUM(AE60:AE65),"")</f>
        <v/>
      </c>
      <c r="AF53" s="72" t="str">
        <f>IF(SUM(AF61:AF65),SUM(AF61:AF65),"")</f>
        <v/>
      </c>
      <c r="AG53" s="72" t="str">
        <f>IF(SUM(AG62:AG65),SUM(AG62:AG65),"")</f>
        <v/>
      </c>
      <c r="AH53" s="72" t="str">
        <f>IF(SUM(AH63:AH65),SUM(AH63:AH65),"")</f>
        <v/>
      </c>
      <c r="AI53" s="72" t="str">
        <f>IF(SUM(AI64:AI65),SUM(AI64:AI65),"")</f>
        <v/>
      </c>
      <c r="AJ53" s="72" t="str">
        <f>IF(SUM(AJ65),SUM(AJ65),"")</f>
        <v/>
      </c>
      <c r="AK53" s="1"/>
      <c r="AL53" s="1"/>
    </row>
    <row r="54" spans="1:38" hidden="1">
      <c r="A54" s="90" t="s">
        <v>83</v>
      </c>
      <c r="B54" s="51">
        <f>IF('Reverse Engineering Valuation'!F36,'Reverse Engineering Valuation'!H36,'Reverse Engineering Valuation'!E36)</f>
        <v>400.00000000000006</v>
      </c>
      <c r="C54" s="91"/>
      <c r="D54" s="50" t="str">
        <f>IF(OR(NOT(C50),(COLUMN()-3)-(B52+1)&lt;0,(B52+1+B53) - (COLUMN()-2) &lt;0),"",C50*(1-B51)/(B53+1)*B50)</f>
        <v/>
      </c>
      <c r="E54" s="50" t="str">
        <f>IF(OR(NOT(C50),(COLUMN()-3)-(B52+1)&lt;0,(B52+1+B53) - (COLUMN()-2) &lt;0),"",C50*(1-B51)/(B53+1)*B50)</f>
        <v/>
      </c>
      <c r="F54" s="50" t="str">
        <f>IF(OR(NOT(C50),(COLUMN()-3)-(B52+1)&lt;0,(B52+1+B53) - (COLUMN()-2) &lt;0),"",C50*(1-B51)/(B53+1)*B50)</f>
        <v/>
      </c>
      <c r="G54" s="50" t="str">
        <f>IF(OR(NOT(C50),(COLUMN()-3)-(B52+1)&lt;0,(B52+1+B53) - (COLUMN()-2) &lt;0),"",C50*(1-B51)/(B53+1)*B50)</f>
        <v/>
      </c>
      <c r="H54" s="50" t="str">
        <f>IF(OR(NOT(C50),(COLUMN()-3)-(B52+1)&lt;0,(B52+1+B53) - (COLUMN()-2) &lt;0),"",C50*(1-B51)/(B53+1)*B50)</f>
        <v/>
      </c>
      <c r="I54" s="50" t="str">
        <f>IF(OR(NOT(C50),(COLUMN()-3)-(B52+1)&lt;0,(B52+1+B53) - (COLUMN()-2) &lt;0),"",C50*(1-B51)/(B53+1)*B50)</f>
        <v/>
      </c>
      <c r="J54" s="50" t="str">
        <f>IF(OR(NOT(C50),(COLUMN()-3)-(B52+1)&lt;0,(B52+1+B53) - (COLUMN()-2) &lt;0),"",C50*(1-B51)/(B53+1)*B50)</f>
        <v/>
      </c>
      <c r="K54" s="50" t="str">
        <f>IF(OR(NOT(C50),(COLUMN()-3)-(B52+1)&lt;0,(B52+1+B53) - (COLUMN()-2) &lt;0),"",C50*(1-B51)/(B53+1)*B50)</f>
        <v/>
      </c>
      <c r="L54" s="50" t="str">
        <f>IF(OR(NOT(C50),(COLUMN()-3)-(B52+1)&lt;0,(B52+1+B53) - (COLUMN()-2) &lt;0),"",C50*(1-B51)/(B53+1)*B50)</f>
        <v/>
      </c>
      <c r="M54" s="50" t="str">
        <f>IF(OR(NOT(C50),(COLUMN()-3)-(B52+1)&lt;0,(B52+1+B53) - (COLUMN()-2) &lt;0),"",C50*(1-B51)/(B53+1)*B50)</f>
        <v/>
      </c>
      <c r="N54" s="50" t="str">
        <f>IF(OR(NOT(C50),(COLUMN()-3)-(B52+1)&lt;0,(B52+1+B53) - (COLUMN()-2) &lt;0),"",C50*(1-B51)/(B53+1)*B50)</f>
        <v/>
      </c>
      <c r="O54" s="56" t="str">
        <f>IF(OR(NOT(C50),(COLUMN()-3)-(B52+1)&lt;0,(B52+1+B53) - (COLUMN()-2) &lt;0),"",C50*(1-B51)/(B53+1)*B50)</f>
        <v/>
      </c>
      <c r="P54" s="56" t="str">
        <f>IF(OR(NOT(C50),(COLUMN()-3)-(B52+1)&lt;0,(B52+1+B53) - (COLUMN()-2) &lt;0),"",C50*(1-B51)/(B53+1)*B50)</f>
        <v/>
      </c>
      <c r="Q54" s="56" t="str">
        <f>IF(OR(NOT(C50),(COLUMN()-3)-(B52+1)&lt;0,(B52+1+B53) - (COLUMN()-2) &lt;0),"",C50*(1-B51)/(B53+1)*B50)</f>
        <v/>
      </c>
      <c r="R54" s="56" t="str">
        <f>IF(OR(NOT(C50),(COLUMN()-3)-(B52+1)&lt;0,(B52+1+B53) - (COLUMN()-2) &lt;0),"",C50*(1-B51)/(B53+1)*B50)</f>
        <v/>
      </c>
      <c r="S54" s="56" t="str">
        <f>IF(OR(NOT(C50),(COLUMN()-3)-(B52+1)&lt;0,(B52+1+B53) - (COLUMN()-2) &lt;0),"",C50*(1-B51)/(B53+1)*B50)</f>
        <v/>
      </c>
      <c r="T54" s="56" t="str">
        <f>IF(OR(NOT(C50),(COLUMN()-3)-(B52+1)&lt;0,(B52+1+B53) - (COLUMN()-2) &lt;0),"",C50*(1-B51)/(B53+1)*B50)</f>
        <v/>
      </c>
      <c r="U54" s="56" t="str">
        <f>IF(OR(NOT(C50),(COLUMN()-3)-(B52+1)&lt;0,(B52+1+B53) - (COLUMN()-2) &lt;0),"",C50*(1-B51)/(B53+1)*B50)</f>
        <v/>
      </c>
      <c r="V54" s="56" t="str">
        <f>IF(OR(NOT(C50),(COLUMN()-3)-(B52+1)&lt;0,(B52+1+B53) - (COLUMN()-2) &lt;0),"",C50*(1-B51)/(B53+1)*B50)</f>
        <v/>
      </c>
      <c r="W54" s="56" t="str">
        <f>IF(OR(NOT(C50),(COLUMN()-3)-(B52+1)&lt;0,(B52+1+B53) - (COLUMN()-2) &lt;0),"",C50*(1-B51)/(B53+1)*B50)</f>
        <v/>
      </c>
      <c r="X54" s="56" t="str">
        <f>IF(OR(NOT(C50),(COLUMN()-3)-(B52+1)&lt;0,(B52+1+B53) - (COLUMN()-2) &lt;0),"",C50*(1-B51)/(B53+1)*B50)</f>
        <v/>
      </c>
      <c r="Y54" s="56" t="str">
        <f>IF(OR(NOT(C50),(COLUMN()-3)-(B52+1)&lt;0,(B52+1+B53) - (COLUMN()-2) &lt;0),"",C50*(1-B51)/(B53+1)*B50)</f>
        <v/>
      </c>
      <c r="Z54" s="56" t="str">
        <f>IF(OR(NOT(C50),(COLUMN()-3)-(B52+1)&lt;0,(B52+1+B53) - (COLUMN()-2) &lt;0),"",C50*(1-B51)/(B53+1)*B50)</f>
        <v/>
      </c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1"/>
    </row>
    <row r="55" spans="1:38" hidden="1">
      <c r="A55" s="90" t="s">
        <v>84</v>
      </c>
      <c r="B55" s="54">
        <f>B54-SUM(C50:N50)</f>
        <v>400.00000000000006</v>
      </c>
      <c r="C55" s="91"/>
      <c r="D55" s="91"/>
      <c r="E55" s="50" t="str">
        <f>IF(OR(NOT(D50),(COLUMN()-3)-(B52+2)&lt;0,(B52+2 +B53) - (COLUMN()-2) &lt;0),"",D50*(1-B51)/(B53+1)*B50)</f>
        <v/>
      </c>
      <c r="F55" s="50" t="str">
        <f>IF(OR(NOT(D50),(COLUMN()-3)-(B52+2)&lt;0,(B52+2 +B53) - (COLUMN()-2) &lt;0),"",D50*(1-B51)/(B53+1)*B50)</f>
        <v/>
      </c>
      <c r="G55" s="50" t="str">
        <f>IF(OR(NOT(D50),(COLUMN()-3)-(B52+2)&lt;0,(B52+2 +B53) - (COLUMN()-2) &lt;0),"",D50*(1-B51)/(B53+1)*B50)</f>
        <v/>
      </c>
      <c r="H55" s="50" t="str">
        <f>IF(OR(NOT(D50),(COLUMN()-3)-(B52+2)&lt;0,(B52+2 +B53) - (COLUMN()-2) &lt;0),"",D50*(1-B51)/(B53+1)*B50)</f>
        <v/>
      </c>
      <c r="I55" s="50" t="str">
        <f>IF(OR(NOT(D50),(COLUMN()-3)-(B52+2)&lt;0,(B52+2 +B53) - (COLUMN()-2) &lt;0),"",D50*(1-B51)/(B53+1)*B50)</f>
        <v/>
      </c>
      <c r="J55" s="50" t="str">
        <f>IF(OR(NOT(D50),(COLUMN()-3)-(B52+2)&lt;0,(B52+2 +B53) - (COLUMN()-2) &lt;0),"",D50*(1-B51)/(B53+1)*B50)</f>
        <v/>
      </c>
      <c r="K55" s="50" t="str">
        <f>IF(OR(NOT(D50),(COLUMN()-3)-(B52+2)&lt;0,(B52+2 +B53) - (COLUMN()-2) &lt;0),"",D50*(1-B51)/(B53+1)*B50)</f>
        <v/>
      </c>
      <c r="L55" s="50" t="str">
        <f>IF(OR(NOT(D50),(COLUMN()-3)-(B52+2)&lt;0,(B52+2 +B53) - (COLUMN()-2) &lt;0),"",D50*(1-B51)/(B53+1)*B50)</f>
        <v/>
      </c>
      <c r="M55" s="50" t="str">
        <f>IF(OR(NOT(D50),(COLUMN()-3)-(B52+2)&lt;0,(B52+2 +B53) - (COLUMN()-2) &lt;0),"",D50*(1-B51)/(B53+1)*B50)</f>
        <v/>
      </c>
      <c r="N55" s="50" t="str">
        <f>IF(OR(NOT(D50),(COLUMN()-3)-(B52+2)&lt;0,(B52+2 +B53) - (COLUMN()-2) &lt;0),"",D50*(1-B51)/(B53+1)*B50)</f>
        <v/>
      </c>
      <c r="O55" s="56" t="str">
        <f>IF(OR(NOT(D50),(COLUMN()-3)-(B52+2)&lt;0,(B52+2 +B53) - (COLUMN()-2) &lt;0),"",D50*(1-B51)/(B53+1)*B50)</f>
        <v/>
      </c>
      <c r="P55" s="56" t="str">
        <f>IF(OR(NOT(D50),(COLUMN()-3)-(B52+2)&lt;0,(B52+2 +B53) - (COLUMN()-2) &lt;0),"",D50*(1-B51)/(B53+1)*B50)</f>
        <v/>
      </c>
      <c r="Q55" s="56" t="str">
        <f>IF(OR(NOT(D50),(COLUMN()-3)-(B52+2)&lt;0,(B52+2 +B53) - (COLUMN()-2) &lt;0),"",D50*(1-B51)/(B53+1)*B50)</f>
        <v/>
      </c>
      <c r="R55" s="56" t="str">
        <f>IF(OR(NOT(D50),(COLUMN()-3)-(B52+2)&lt;0,(B52+2 +B53) - (COLUMN()-2) &lt;0),"",D50*(1-B51)/(B53+1)*B50)</f>
        <v/>
      </c>
      <c r="S55" s="56" t="str">
        <f>IF(OR(NOT(D50),(COLUMN()-3)-(B52+2)&lt;0,(B52+2 +B53) - (COLUMN()-2) &lt;0),"",D50*(1-B51)/(B53+1)*B50)</f>
        <v/>
      </c>
      <c r="T55" s="56" t="str">
        <f>IF(OR(NOT(D50),(COLUMN()-3)-(B52+2)&lt;0,(B52+2 +B53) - (COLUMN()-2) &lt;0),"",D50*(1-B51)/(B53+1)*B50)</f>
        <v/>
      </c>
      <c r="U55" s="56" t="str">
        <f>IF(OR(NOT(D50),(COLUMN()-3)-(B52+2)&lt;0,(B52+2 +B53) - (COLUMN()-2) &lt;0),"",D50*(1-B51)/(B53+1)*B50)</f>
        <v/>
      </c>
      <c r="V55" s="56" t="str">
        <f>IF(OR(NOT(D50),(COLUMN()-3)-(B52+2)&lt;0,(B52+2 +B53) - (COLUMN()-2) &lt;0),"",D50*(1-B51)/(B53+1)*B50)</f>
        <v/>
      </c>
      <c r="W55" s="56" t="str">
        <f>IF(OR(NOT(D50),(COLUMN()-3)-(B52+2)&lt;0,(B52+2 +B53) - (COLUMN()-2) &lt;0),"",D50*(1-B51)/(B53+1)*B50)</f>
        <v/>
      </c>
      <c r="X55" s="56" t="str">
        <f>IF(OR(NOT(D50),(COLUMN()-3)-(B52+2)&lt;0,(B52+2 +B53) - (COLUMN()-2) &lt;0),"",D50*(1-B51)/(B53+1)*B50)</f>
        <v/>
      </c>
      <c r="Y55" s="56" t="str">
        <f>IF(OR(NOT(D50),(COLUMN()-3)-(B52+2)&lt;0,(B52+2 +B53) - (COLUMN()-2) &lt;0),"",D50*(1-B51)/(B53+1)*B50)</f>
        <v/>
      </c>
      <c r="Z55" s="56" t="str">
        <f>IF(OR(NOT(D50),(COLUMN()-3)-(B52+2)&lt;0,(B52+2 +B53) - (COLUMN()-2) &lt;0),"",D50*(1-B51)/(B53+1)*B50)</f>
        <v/>
      </c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1"/>
    </row>
    <row r="56" spans="1:38" hidden="1">
      <c r="A56" s="91"/>
      <c r="B56" s="91"/>
      <c r="C56" s="91"/>
      <c r="D56" s="91"/>
      <c r="E56" s="91"/>
      <c r="F56" s="50" t="str">
        <f>IF(OR(NOT(E50),(COLUMN()-3)-(B52+3)&lt;0,(B52+3+B53) - (COLUMN()-2) &lt;0),"",E50*(1-B51)/(B53+1)*B50)</f>
        <v/>
      </c>
      <c r="G56" s="50" t="str">
        <f>IF(OR(NOT(E50),(COLUMN()-3)-(B52+3)&lt;0,(B52+3+B53) - (COLUMN()-2) &lt;0),"",E50*(1-B51)/(B53+1)*B50)</f>
        <v/>
      </c>
      <c r="H56" s="50" t="str">
        <f>IF(OR(NOT(E50),(COLUMN()-3)-(B52+3)&lt;0,(B52+3+B53) - (COLUMN()-2) &lt;0),"",E50*(1-B51)/(B53+1)*B50)</f>
        <v/>
      </c>
      <c r="I56" s="50" t="str">
        <f>IF(OR(NOT(E50),(COLUMN()-3)-(B52+3)&lt;0,(B52+3+B53) - (COLUMN()-2) &lt;0),"",E50*(1-B51)/(B53+1)*B50)</f>
        <v/>
      </c>
      <c r="J56" s="50" t="str">
        <f>IF(OR(NOT(E50),(COLUMN()-3)-(B52+3)&lt;0,(B52+3+B53) - (COLUMN()-2) &lt;0),"",E50*(1-B51)/(B53+1)*B50)</f>
        <v/>
      </c>
      <c r="K56" s="50" t="str">
        <f>IF(OR(NOT(E50),(COLUMN()-3)-(B52+3)&lt;0,(B52+3+B53) - (COLUMN()-2) &lt;0),"",E50*(1-B51)/(B53+1)*B50)</f>
        <v/>
      </c>
      <c r="L56" s="50" t="str">
        <f>IF(OR(NOT(E50),(COLUMN()-3)-(B52+3)&lt;0,(B52+3+B53) - (COLUMN()-2) &lt;0),"",E50*(1-B51)/(B53+1)*B50)</f>
        <v/>
      </c>
      <c r="M56" s="50" t="str">
        <f>IF(OR(NOT(E50),(COLUMN()-3)-(B52+3)&lt;0,(B52+3+B53) - (COLUMN()-2) &lt;0),"",E50*(1-B51)/(B53+1)*B50)</f>
        <v/>
      </c>
      <c r="N56" s="50" t="str">
        <f>IF(OR(NOT(E50),(COLUMN()-3)-(B52+3)&lt;0,(B52+3+B53) - (COLUMN()-2) &lt;0),"",E50*(1-B51)/(B53+1)*B50)</f>
        <v/>
      </c>
      <c r="O56" s="56" t="str">
        <f>IF(OR(NOT(E50),(COLUMN()-3)-(B52+3)&lt;0,(B52+3+B53) - (COLUMN()-2) &lt;0),"",E50*(1-B51)/(B53+1)*B50)</f>
        <v/>
      </c>
      <c r="P56" s="56" t="str">
        <f>IF(OR(NOT(E50),(COLUMN()-3)-(B52+3)&lt;0,(B52+3+B53) - (COLUMN()-2) &lt;0),"",E50*(1-B51)/(B53+1)*B50)</f>
        <v/>
      </c>
      <c r="Q56" s="56" t="str">
        <f>IF(OR(NOT(E50),(COLUMN()-3)-(B52+3)&lt;0,(B52+3+B53) - (COLUMN()-2) &lt;0),"",E50*(1-B51)/(B53+1)*B50)</f>
        <v/>
      </c>
      <c r="R56" s="56" t="str">
        <f>IF(OR(NOT(E50),(COLUMN()-3)-(B52+3)&lt;0,(B52+3+B53) - (COLUMN()-2) &lt;0),"",E50*(1-B51)/(B53+1)*B50)</f>
        <v/>
      </c>
      <c r="S56" s="56" t="str">
        <f>IF(OR(NOT(E50),(COLUMN()-3)-(B52+3)&lt;0,(B52+3+B53) - (COLUMN()-2) &lt;0),"",E50*(1-B51)/(B53+1)*B50)</f>
        <v/>
      </c>
      <c r="T56" s="56" t="str">
        <f>IF(OR(NOT(E50),(COLUMN()-3)-(B52+3)&lt;0,(B52+3+B53) - (COLUMN()-2) &lt;0),"",E50*(1-B51)/(B53+1)*B50)</f>
        <v/>
      </c>
      <c r="U56" s="56" t="str">
        <f>IF(OR(NOT(E50),(COLUMN()-3)-(B52+3)&lt;0,(B52+3+B53) - (COLUMN()-2) &lt;0),"",E50*(1-B51)/(B53+1)*B50)</f>
        <v/>
      </c>
      <c r="V56" s="56" t="str">
        <f>IF(OR(NOT(E50),(COLUMN()-3)-(B52+3)&lt;0,(B52+3+B53) - (COLUMN()-2) &lt;0),"",E50*(1-B51)/(B53+1)*B50)</f>
        <v/>
      </c>
      <c r="W56" s="56" t="str">
        <f>IF(OR(NOT(E50),(COLUMN()-3)-(B52+3)&lt;0,(B52+3+B53) - (COLUMN()-2) &lt;0),"",E50*(1-B51)/(B53+1)*B50)</f>
        <v/>
      </c>
      <c r="X56" s="56" t="str">
        <f>IF(OR(NOT(E50),(COLUMN()-3)-(B52+3)&lt;0,(B52+3+B53) - (COLUMN()-2) &lt;0),"",E50*(1-B51)/(B53+1)*B50)</f>
        <v/>
      </c>
      <c r="Y56" s="56" t="str">
        <f>IF(OR(NOT(E50),(COLUMN()-3)-(B52+3)&lt;0,(B52+3+B53) - (COLUMN()-2) &lt;0),"",E50*(1-B51)/(B53+1)*B50)</f>
        <v/>
      </c>
      <c r="Z56" s="56" t="str">
        <f>IF(OR(NOT(E50),(COLUMN()-3)-(B52+3)&lt;0,(B52+3+B53) - (COLUMN()-2) &lt;0),"",E50*(1-B51)/(B53+1)*B50)</f>
        <v/>
      </c>
      <c r="AA56" s="72" t="str">
        <f>IF(OR(NOT(E50),(COLUMN()-3)-(B52+3)&lt;0,(B52+3+B53) - (COLUMN()-2) &lt;0),"",E50*(1-B51)/(B53+1)*B50)</f>
        <v/>
      </c>
      <c r="AB56" s="91"/>
      <c r="AC56" s="91"/>
      <c r="AD56" s="91"/>
      <c r="AE56" s="91"/>
      <c r="AF56" s="91"/>
      <c r="AG56" s="91"/>
      <c r="AH56" s="91"/>
      <c r="AI56" s="91"/>
      <c r="AJ56" s="91"/>
    </row>
    <row r="57" spans="1:38" hidden="1">
      <c r="A57" s="91"/>
      <c r="B57" s="91"/>
      <c r="C57" s="91"/>
      <c r="D57" s="91"/>
      <c r="E57" s="91"/>
      <c r="F57" s="91"/>
      <c r="G57" s="50" t="str">
        <f>IF(OR(NOT(F50),(COLUMN()-3)-(B52+4)&lt;0,(B52+4+B53) - (COLUMN()-2) &lt;0),"",F50*(1-B51)/(B53+1)*B50)</f>
        <v/>
      </c>
      <c r="H57" s="50" t="str">
        <f>IF(OR(NOT(F50),(COLUMN()-3)-(B52+4)&lt;0,(B52+4+B53) - (COLUMN()-2) &lt;0),"",F50*(1-B51)/(B53+1)*B50)</f>
        <v/>
      </c>
      <c r="I57" s="50" t="str">
        <f>IF(OR(NOT(F50),(COLUMN()-3)-(B52+4)&lt;0,(B52+4+B53) - (COLUMN()-2) &lt;0),"",F50*(1-B51)/(B53+1)*B50)</f>
        <v/>
      </c>
      <c r="J57" s="50" t="str">
        <f>IF(OR(NOT(F50),(COLUMN()-3)-(B52+4)&lt;0,(B52+4+B53) - (COLUMN()-2) &lt;0),"",F50*(1-B51)/(B53+1)*B50)</f>
        <v/>
      </c>
      <c r="K57" s="50" t="str">
        <f>IF(OR(NOT(F50),(COLUMN()-3)-(B52+4)&lt;0,(B52+4+B53) - (COLUMN()-2) &lt;0),"",F50*(1-B51)/(B53+1)*B50)</f>
        <v/>
      </c>
      <c r="L57" s="50" t="str">
        <f>IF(OR(NOT(F50),(COLUMN()-3)-(B52+4)&lt;0,(B52+4+B53) - (COLUMN()-2) &lt;0),"",F50*(1-B51)/(B53+1)*B50)</f>
        <v/>
      </c>
      <c r="M57" s="50" t="str">
        <f>IF(OR(NOT(F50),(COLUMN()-3)-(B52+4)&lt;0,(B52+4+B53) - (COLUMN()-2) &lt;0),"",F50*(1-B51)/(B53+1)*B50)</f>
        <v/>
      </c>
      <c r="N57" s="50" t="str">
        <f>IF(OR(NOT(F50),(COLUMN()-3)-(B52+4)&lt;0,(B52+4+B53) - (COLUMN()-2) &lt;0),"",F50*(1-B51)/(B53+1)*B50)</f>
        <v/>
      </c>
      <c r="O57" s="56" t="str">
        <f>IF(OR(NOT(F50),(COLUMN()-3)-(B52+4)&lt;0,(B52+4+B53) - (COLUMN()-2) &lt;0),"",F50*(1-B51)/(B53+1)*B50)</f>
        <v/>
      </c>
      <c r="P57" s="56" t="str">
        <f>IF(OR(NOT(F50),(COLUMN()-3)-(B52+4)&lt;0,(B52+4+B53) - (COLUMN()-2) &lt;0),"",F50*(1-B51)/(B53+1)*B50)</f>
        <v/>
      </c>
      <c r="Q57" s="56" t="str">
        <f>IF(OR(NOT(F50),(COLUMN()-3)-(B52+4)&lt;0,(B52+4+B53) - (COLUMN()-2) &lt;0),"",F50*(1-B51)/(B53+1)*B50)</f>
        <v/>
      </c>
      <c r="R57" s="56" t="str">
        <f>IF(OR(NOT(F50),(COLUMN()-3)-(B52+4)&lt;0,(B52+4+B53) - (COLUMN()-2) &lt;0),"",F50*(1-B51)/(B53+1)*B50)</f>
        <v/>
      </c>
      <c r="S57" s="56" t="str">
        <f>IF(OR(NOT(F50),(COLUMN()-3)-(B52+4)&lt;0,(B52+4+B53) - (COLUMN()-2) &lt;0),"",F50*(1-B51)/(B53+1)*B50)</f>
        <v/>
      </c>
      <c r="T57" s="56" t="str">
        <f>IF(OR(NOT(F50),(COLUMN()-3)-(B52+4)&lt;0,(B52+4+B53) - (COLUMN()-2) &lt;0),"",F50*(1-B51)/(B53+1)*B50)</f>
        <v/>
      </c>
      <c r="U57" s="56" t="str">
        <f>IF(OR(NOT(F50),(COLUMN()-3)-(B52+4)&lt;0,(B52+4+B53) - (COLUMN()-2) &lt;0),"",F50*(1-B51)/(B53+1)*B50)</f>
        <v/>
      </c>
      <c r="V57" s="56" t="str">
        <f>IF(OR(NOT(F50),(COLUMN()-3)-(B52+4)&lt;0,(B52+4+B53) - (COLUMN()-2) &lt;0),"",F50*(1-B51)/(B53+1)*B50)</f>
        <v/>
      </c>
      <c r="W57" s="56" t="str">
        <f>IF(OR(NOT(F50),(COLUMN()-3)-(B52+4)&lt;0,(B52+4+B53) - (COLUMN()-2) &lt;0),"",F50*(1-B51)/(B53+1)*B50)</f>
        <v/>
      </c>
      <c r="X57" s="56" t="str">
        <f>IF(OR(NOT(F50),(COLUMN()-3)-(B52+4)&lt;0,(B52+4+B53) - (COLUMN()-2) &lt;0),"",F50*(1-B51)/(B53+1)*B50)</f>
        <v/>
      </c>
      <c r="Y57" s="56" t="str">
        <f>IF(OR(NOT(F50),(COLUMN()-3)-(B52+4)&lt;0,(B52+4+B53) - (COLUMN()-2) &lt;0),"",F50*(1-B51)/(B53+1)*B50)</f>
        <v/>
      </c>
      <c r="Z57" s="56" t="str">
        <f>IF(OR(NOT(F50),(COLUMN()-3)-(B52+4)&lt;0,(B52+4+B53) - (COLUMN()-2) &lt;0),"",F50*(1-B51)/(B53+1)*B50)</f>
        <v/>
      </c>
      <c r="AA57" s="72" t="str">
        <f>IF(OR(NOT(F50),(COLUMN()-3)-(B52+4)&lt;0,(B52+4+B53) - (COLUMN()-2) &lt;0),"",F50*(1-B51)/(B53+1)*B50)</f>
        <v/>
      </c>
      <c r="AB57" s="72" t="str">
        <f>IF(OR(NOT(F50),(COLUMN()-3)-(B52+4)&lt;0,(B52+4+B53) - (COLUMN()-2) &lt;0),"",F50*(1-B51)/(B53+1)*B50)</f>
        <v/>
      </c>
      <c r="AC57" s="91"/>
      <c r="AD57" s="91"/>
      <c r="AE57" s="91"/>
      <c r="AF57" s="91"/>
      <c r="AG57" s="91"/>
      <c r="AH57" s="91"/>
      <c r="AI57" s="91"/>
      <c r="AJ57" s="91"/>
    </row>
    <row r="58" spans="1:38" hidden="1">
      <c r="A58" s="91"/>
      <c r="B58" s="91"/>
      <c r="C58" s="91"/>
      <c r="D58" s="91"/>
      <c r="E58" s="91"/>
      <c r="F58" s="91"/>
      <c r="G58" s="91"/>
      <c r="H58" s="50" t="str">
        <f>IF(OR(NOT(G50),(COLUMN()-3)-(B52+5)&lt;0,(B52+5+B53) - (COLUMN()-2) &lt;0),"",G50*(1-B51)/(B53+1)*B50)</f>
        <v/>
      </c>
      <c r="I58" s="50" t="str">
        <f>IF(OR(NOT(G50),(COLUMN()-3)-(B52+5)&lt;0,(B52+5+B53) - (COLUMN()-2) &lt;0),"",G50*(1-B51)/(B53+1)*B50)</f>
        <v/>
      </c>
      <c r="J58" s="50" t="str">
        <f>IF(OR(NOT(G50),(COLUMN()-3)-(B52+5)&lt;0,(B52+5+B53) - (COLUMN()-2) &lt;0),"",G50*(1-B51)/(B53+1)*B50)</f>
        <v/>
      </c>
      <c r="K58" s="50" t="str">
        <f>IF(OR(NOT(G50),(COLUMN()-3)-(B52+5)&lt;0,(B52+5+B53) - (COLUMN()-2) &lt;0),"",G50*(1-B51)/(B53+1)*B50)</f>
        <v/>
      </c>
      <c r="L58" s="50" t="str">
        <f>IF(OR(NOT(G50),(COLUMN()-3)-(B52+5)&lt;0,(B52+5+B53) - (COLUMN()-2) &lt;0),"",G50*(1-B51)/(B53+1)*B50)</f>
        <v/>
      </c>
      <c r="M58" s="50" t="str">
        <f>IF(OR(NOT(G50),(COLUMN()-3)-(B52+5)&lt;0,(B52+5+B53) - (COLUMN()-2) &lt;0),"",G50*(1-B51)/(B53+1)*B50)</f>
        <v/>
      </c>
      <c r="N58" s="50" t="str">
        <f>IF(OR(NOT(G50),(COLUMN()-3)-(B52+5)&lt;0,(B52+5+B53) - (COLUMN()-2) &lt;0),"",G50*(1-B51)/(B53+1)*B50)</f>
        <v/>
      </c>
      <c r="O58" s="56" t="str">
        <f>IF(OR(NOT(G50),(COLUMN()-3)-(B52+5)&lt;0,(B52+5+B53) - (COLUMN()-2) &lt;0),"",G50*(1-B51)/(B53+1)*B50)</f>
        <v/>
      </c>
      <c r="P58" s="56" t="str">
        <f>IF(OR(NOT(G50),(COLUMN()-3)-(B52+5)&lt;0,(B52+5+B53) - (COLUMN()-2) &lt;0),"",G50*(1-B51)/(B53+1)*B50)</f>
        <v/>
      </c>
      <c r="Q58" s="56" t="str">
        <f>IF(OR(NOT(G50),(COLUMN()-3)-(B52+5)&lt;0,(B52+5+B53) - (COLUMN()-2) &lt;0),"",G50*(1-B51)/(B53+1)*B50)</f>
        <v/>
      </c>
      <c r="R58" s="56" t="str">
        <f>IF(OR(NOT(G50),(COLUMN()-3)-(B52+5)&lt;0,(B52+5+B53) - (COLUMN()-2) &lt;0),"",G50*(1-B51)/(B53+1)*B50)</f>
        <v/>
      </c>
      <c r="S58" s="56" t="str">
        <f>IF(OR(NOT(G50),(COLUMN()-3)-(B52+5)&lt;0,(B52+5+B53) - (COLUMN()-2) &lt;0),"",G50*(1-B51)/(B53+1)*B50)</f>
        <v/>
      </c>
      <c r="T58" s="56" t="str">
        <f>IF(OR(NOT(G50),(COLUMN()-3)-(B52+5)&lt;0,(B52+5+B53) - (COLUMN()-2) &lt;0),"",G50*(1-B51)/(B53+1)*B50)</f>
        <v/>
      </c>
      <c r="U58" s="56" t="str">
        <f>IF(OR(NOT(G50),(COLUMN()-3)-(B52+5)&lt;0,(B52+5+B53) - (COLUMN()-2) &lt;0),"",G50*(1-B51)/(B53+1)*B50)</f>
        <v/>
      </c>
      <c r="V58" s="56" t="str">
        <f>IF(OR(NOT(G50),(COLUMN()-3)-(B52+5)&lt;0,(B52+5+B53) - (COLUMN()-2) &lt;0),"",G50*(1-B51)/(B53+1)*B50)</f>
        <v/>
      </c>
      <c r="W58" s="56" t="str">
        <f>IF(OR(NOT(G50),(COLUMN()-3)-(B52+5)&lt;0,(B52+5+B53) - (COLUMN()-2) &lt;0),"",G50*(1-B51)/(B53+1)*B50)</f>
        <v/>
      </c>
      <c r="X58" s="56" t="str">
        <f>IF(OR(NOT(G50),(COLUMN()-3)-(B52+5)&lt;0,(B52+5+B53) - (COLUMN()-2) &lt;0),"",G50*(1-B51)/(B53+1)*B50)</f>
        <v/>
      </c>
      <c r="Y58" s="56" t="str">
        <f>IF(OR(NOT(G50),(COLUMN()-3)-(B52+5)&lt;0,(B52+5+B53) - (COLUMN()-2) &lt;0),"",G50*(1-B51)/(B53+1)*B50)</f>
        <v/>
      </c>
      <c r="Z58" s="56" t="str">
        <f>IF(OR(NOT(G50),(COLUMN()-3)-(B52+5)&lt;0,(B52+5+B53) - (COLUMN()-2) &lt;0),"",G50*(1-B51)/(B53+1)*B50)</f>
        <v/>
      </c>
      <c r="AA58" s="72" t="str">
        <f>IF(OR(NOT(G50),(COLUMN()-3)-(B52+5)&lt;0,(B52+5+B53) - (COLUMN()-2) &lt;0),"",G50*(1-B51)/(B53+1)*B50)</f>
        <v/>
      </c>
      <c r="AB58" s="72" t="str">
        <f>IF(OR(NOT(G50),(COLUMN()-3)-(B52+5)&lt;0,(B52+5+B53) - (COLUMN()-2) &lt;0),"",G50*(1-B51)/(B53+1)*B50)</f>
        <v/>
      </c>
      <c r="AC58" s="72" t="str">
        <f>IF(OR(NOT(G50),(COLUMN()-3)-(B52+5)&lt;0,(B52+5+B53) - (COLUMN()-2) &lt;0),"",G50*(1-B51)/(B53+1)*B50)</f>
        <v/>
      </c>
      <c r="AD58" s="91"/>
      <c r="AE58" s="91"/>
      <c r="AF58" s="91"/>
      <c r="AG58" s="91"/>
      <c r="AH58" s="91"/>
      <c r="AI58" s="91"/>
      <c r="AJ58" s="91"/>
    </row>
    <row r="59" spans="1:38" hidden="1">
      <c r="A59" s="91"/>
      <c r="B59" s="91"/>
      <c r="C59" s="91"/>
      <c r="D59" s="91"/>
      <c r="E59" s="91"/>
      <c r="F59" s="91"/>
      <c r="G59" s="91"/>
      <c r="H59" s="91"/>
      <c r="I59" s="50" t="str">
        <f>IF(OR(NOT(H50),(COLUMN()-3)-(B52+6)&lt;0,(B52+6+B53) - (COLUMN()-2) &lt;0),"",H50*(1-B51)/(B53+1)*B50)</f>
        <v/>
      </c>
      <c r="J59" s="50" t="str">
        <f>IF(OR(NOT(H50),(COLUMN()-3)-(B52+6)&lt;0,(B52+6+B53) - (COLUMN()-2) &lt;0),"",H50*(1-B51)/(B53+1)*B50)</f>
        <v/>
      </c>
      <c r="K59" s="50" t="str">
        <f>IF(OR(NOT(H50),(COLUMN()-3)-(B52+6)&lt;0,(B52+6+B53) - (COLUMN()-2) &lt;0),"",H50*(1-B51)/(B53+1)*B50)</f>
        <v/>
      </c>
      <c r="L59" s="50" t="str">
        <f>IF(OR(NOT(H50),(COLUMN()-3)-(B52+6)&lt;0,(B52+6+B53) - (COLUMN()-2) &lt;0),"",H50*(1-B51)/(B53+1)*B50)</f>
        <v/>
      </c>
      <c r="M59" s="50" t="str">
        <f>IF(OR(NOT(H50),(COLUMN()-3)-(B52+6)&lt;0,(B52+6+B53) - (COLUMN()-2) &lt;0),"",H50*(1-B51)/(B53+1)*B50)</f>
        <v/>
      </c>
      <c r="N59" s="50" t="str">
        <f>IF(OR(NOT(H50),(COLUMN()-3)-(B52+6)&lt;0,(B52+6+B53) - (COLUMN()-2) &lt;0),"",H50*(1-B51)/(B53+1)*B50)</f>
        <v/>
      </c>
      <c r="O59" s="56" t="str">
        <f>IF(OR(NOT(H50),(COLUMN()-3)-(B52+6)&lt;0,(B52+6+B53) - (COLUMN()-2) &lt;0),"",H50*(1-B51)/(B53+1)*B50)</f>
        <v/>
      </c>
      <c r="P59" s="56" t="str">
        <f>IF(OR(NOT(H50),(COLUMN()-3)-(B52+6)&lt;0,(B52+6+B53) - (COLUMN()-2) &lt;0),"",H50*(1-B51)/(B53+1)*B50)</f>
        <v/>
      </c>
      <c r="Q59" s="56" t="str">
        <f>IF(OR(NOT(H50),(COLUMN()-3)-(B52+6)&lt;0,(B52+6+B53) - (COLUMN()-2) &lt;0),"",H50*(1-B51)/(B53+1)*B50)</f>
        <v/>
      </c>
      <c r="R59" s="56" t="str">
        <f>IF(OR(NOT(H50),(COLUMN()-3)-(B52+6)&lt;0,(B52+6+B53) - (COLUMN()-2) &lt;0),"",H50*(1-B51)/(B53+1)*B50)</f>
        <v/>
      </c>
      <c r="S59" s="56" t="str">
        <f>IF(OR(NOT(H50),(COLUMN()-3)-(B52+6)&lt;0,(B52+6+B53) - (COLUMN()-2) &lt;0),"",H50*(1-B51)/(B53+1)*B50)</f>
        <v/>
      </c>
      <c r="T59" s="56" t="str">
        <f>IF(OR(NOT(H50),(COLUMN()-3)-(B52+6)&lt;0,(B52+6+B53) - (COLUMN()-2) &lt;0),"",H50*(1-B51)/(B53+1)*B50)</f>
        <v/>
      </c>
      <c r="U59" s="56" t="str">
        <f>IF(OR(NOT(H50),(COLUMN()-3)-(B52+6)&lt;0,(B52+6+B53) - (COLUMN()-2) &lt;0),"",H50*(1-B51)/(B53+1)*B50)</f>
        <v/>
      </c>
      <c r="V59" s="56" t="str">
        <f>IF(OR(NOT(H50),(COLUMN()-3)-(B52+6)&lt;0,(B52+6+B53) - (COLUMN()-2) &lt;0),"",H50*(1-B51)/(B53+1)*B50)</f>
        <v/>
      </c>
      <c r="W59" s="56" t="str">
        <f>IF(OR(NOT(H50),(COLUMN()-3)-(B52+6)&lt;0,(B52+6+B53) - (COLUMN()-2) &lt;0),"",H50*(1-B51)/(B53+1)*B50)</f>
        <v/>
      </c>
      <c r="X59" s="56" t="str">
        <f>IF(OR(NOT(H50),(COLUMN()-3)-(B52+6)&lt;0,(B52+6+B53) - (COLUMN()-2) &lt;0),"",H50*(1-B51)/(B53+1)*B50)</f>
        <v/>
      </c>
      <c r="Y59" s="56" t="str">
        <f>IF(OR(NOT(H50),(COLUMN()-3)-(B52+6)&lt;0,(B52+6+B53) - (COLUMN()-2) &lt;0),"",H50*(1-B51)/(B53+1)*B50)</f>
        <v/>
      </c>
      <c r="Z59" s="56" t="str">
        <f>IF(OR(NOT(H50),(COLUMN()-3)-(B52+6)&lt;0,(B52+6+B53) - (COLUMN()-2) &lt;0),"",H50*(1-B51)/(B53+1)*B50)</f>
        <v/>
      </c>
      <c r="AA59" s="72" t="str">
        <f>IF(OR(NOT(H50),(COLUMN()-3)-(B52+6)&lt;0,(B52+6+B53) - (COLUMN()-2) &lt;0),"",H50*(1-B51)/(B53+1)*B50)</f>
        <v/>
      </c>
      <c r="AB59" s="72" t="str">
        <f>IF(OR(NOT(H50),(COLUMN()-3)-(B52+6)&lt;0,(B52+6+B53) - (COLUMN()-2) &lt;0),"",H50*(1-B51)/(B53+1)*B50)</f>
        <v/>
      </c>
      <c r="AC59" s="72" t="str">
        <f>IF(OR(NOT(H50),(COLUMN()-3)-(B52+6)&lt;0,(B52+6+B53) - (COLUMN()-2) &lt;0),"",H50*(1-B51)/(B53+1)*B50)</f>
        <v/>
      </c>
      <c r="AD59" s="72" t="str">
        <f>IF(OR(NOT(H50),(COLUMN()-3)-(B52+6)&lt;0,(B52+6+B53) - (COLUMN()-2) &lt;0),"",H50*(1-B51)/(B53+1)*B50)</f>
        <v/>
      </c>
      <c r="AE59" s="91"/>
      <c r="AF59" s="91"/>
      <c r="AG59" s="91"/>
      <c r="AH59" s="91"/>
      <c r="AI59" s="91"/>
      <c r="AJ59" s="91"/>
    </row>
    <row r="60" spans="1:38" hidden="1">
      <c r="A60" s="91"/>
      <c r="B60" s="91"/>
      <c r="C60" s="91"/>
      <c r="D60" s="91"/>
      <c r="E60" s="91"/>
      <c r="F60" s="91"/>
      <c r="G60" s="91"/>
      <c r="H60" s="91"/>
      <c r="I60" s="91"/>
      <c r="J60" s="50" t="str">
        <f>IF(OR(NOT(I50),(COLUMN()-3)-(B52+7)&lt;0,(B52+7+B53) - (COLUMN()-2) &lt;0),"",I50*(1-B51)/(B53+1)*B50)</f>
        <v/>
      </c>
      <c r="K60" s="50" t="str">
        <f>IF(OR(NOT(I50),(COLUMN()-3)-(B52+7)&lt;0,(B52+7+B53) - (COLUMN()-2) &lt;0),"",I50*(1-B51)/(B53+1)*B50)</f>
        <v/>
      </c>
      <c r="L60" s="50" t="str">
        <f>IF(OR(NOT(I50),(COLUMN()-3)-(B52+7)&lt;0,(B52+7+B53) - (COLUMN()-2) &lt;0),"",I50*(1-B51)/(B53+1)*B50)</f>
        <v/>
      </c>
      <c r="M60" s="50" t="str">
        <f>IF(OR(NOT(I50),(COLUMN()-3)-(B52+7)&lt;0,(B52+7+B53) - (COLUMN()-2) &lt;0),"",I50*(1-B51)/(B53+1)*B50)</f>
        <v/>
      </c>
      <c r="N60" s="50" t="str">
        <f>IF(OR(NOT(I50),(COLUMN()-3)-(B52+7)&lt;0,(B52+7+B53) - (COLUMN()-2) &lt;0),"",I50*(1-B51)/(B53+1)*B50)</f>
        <v/>
      </c>
      <c r="O60" s="56" t="str">
        <f>IF(OR(NOT(I50),(COLUMN()-3)-(B52+7)&lt;0,(B52+7+B53) - (COLUMN()-2) &lt;0),"",I50*(1-B51)/(B53+1)*B50)</f>
        <v/>
      </c>
      <c r="P60" s="56" t="str">
        <f>IF(OR(NOT(I50),(COLUMN()-3)-(B52+7)&lt;0,(B52+7+B53) - (COLUMN()-2) &lt;0),"",I50*(1-B51)/(B53+1)*B50)</f>
        <v/>
      </c>
      <c r="Q60" s="56" t="str">
        <f>IF(OR(NOT(I50),(COLUMN()-3)-(B52+7)&lt;0,(B52+7+B53) - (COLUMN()-2) &lt;0),"",I50*(1-B51)/(B53+1)*B50)</f>
        <v/>
      </c>
      <c r="R60" s="56" t="str">
        <f>IF(OR(NOT(I50),(COLUMN()-3)-(B52+7)&lt;0,(B52+7+B53) - (COLUMN()-2) &lt;0),"",I50*(1-B51)/(B53+1)*B50)</f>
        <v/>
      </c>
      <c r="S60" s="56" t="str">
        <f>IF(OR(NOT(I50),(COLUMN()-3)-(B52+7)&lt;0,(B52+7+B53) - (COLUMN()-2) &lt;0),"",I50*(1-B51)/(B53+1)*B50)</f>
        <v/>
      </c>
      <c r="T60" s="56" t="str">
        <f>IF(OR(NOT(I50),(COLUMN()-3)-(B52+7)&lt;0,(B52+7+B53) - (COLUMN()-2) &lt;0),"",I50*(1-B51)/(B53+1)*B50)</f>
        <v/>
      </c>
      <c r="U60" s="56" t="str">
        <f>IF(OR(NOT(I50),(COLUMN()-3)-(B52+7)&lt;0,(B52+7+B53) - (COLUMN()-2) &lt;0),"",I50*(1-B51)/(B53+1)*B50)</f>
        <v/>
      </c>
      <c r="V60" s="56" t="str">
        <f>IF(OR(NOT(I50),(COLUMN()-3)-(B52+7)&lt;0,(B52+7+B53) - (COLUMN()-2) &lt;0),"",I50*(1-B51)/(B53+1)*B50)</f>
        <v/>
      </c>
      <c r="W60" s="56" t="str">
        <f>IF(OR(NOT(I50),(COLUMN()-3)-(B52+7)&lt;0,(B52+7+B53) - (COLUMN()-2) &lt;0),"",I50*(1-B51)/(B53+1)*B50)</f>
        <v/>
      </c>
      <c r="X60" s="56" t="str">
        <f>IF(OR(NOT(I50),(COLUMN()-3)-(B52+7)&lt;0,(B52+7+B53) - (COLUMN()-2) &lt;0),"",I50*(1-B51)/(B53+1)*B50)</f>
        <v/>
      </c>
      <c r="Y60" s="56" t="str">
        <f>IF(OR(NOT(I50),(COLUMN()-3)-(B52+7)&lt;0,(B52+7+B53) - (COLUMN()-2) &lt;0),"",I50*(1-B51)/(B53+1)*B50)</f>
        <v/>
      </c>
      <c r="Z60" s="56" t="str">
        <f>IF(OR(NOT(I50),(COLUMN()-3)-(B52+7)&lt;0,(B52+7+B53) - (COLUMN()-2) &lt;0),"",I50*(1-B51)/(B53+1)*B50)</f>
        <v/>
      </c>
      <c r="AA60" s="72" t="str">
        <f>IF(OR(NOT(I50),(COLUMN()-3)-(B52+7)&lt;0,(B52+7+B53) - (COLUMN()-2) &lt;0),"",I50*(1-B51)/(B53+1)*B50)</f>
        <v/>
      </c>
      <c r="AB60" s="72" t="str">
        <f>IF(OR(NOT(I50),(COLUMN()-3)-(B52+7)&lt;0,(B52+7+B53) - (COLUMN()-2) &lt;0),"",I50*(1-B51)/(B53+1)*B50)</f>
        <v/>
      </c>
      <c r="AC60" s="72" t="str">
        <f>IF(OR(NOT(I50),(COLUMN()-3)-(B52+7)&lt;0,(B52+7+B53) - (COLUMN()-2) &lt;0),"",I50*(1-B51)/(B53+1)*B50)</f>
        <v/>
      </c>
      <c r="AD60" s="72" t="str">
        <f>IF(OR(NOT(I50),(COLUMN()-3)-(B52+7)&lt;0,(B52+7+B53) - (COLUMN()-2) &lt;0),"",I50*(1-B51)/(B53+1)*B50)</f>
        <v/>
      </c>
      <c r="AE60" s="72" t="str">
        <f>IF(OR(NOT(I50),(COLUMN()-3)-(B52+7)&lt;0,(B52+7+B53) - (COLUMN()-2) &lt;0),"",I50*(1-B51)/(B53+1)*B50)</f>
        <v/>
      </c>
      <c r="AF60" s="91"/>
      <c r="AG60" s="91"/>
      <c r="AH60" s="91"/>
      <c r="AI60" s="91"/>
      <c r="AJ60" s="91"/>
    </row>
    <row r="61" spans="1:38" hidden="1">
      <c r="A61" s="91"/>
      <c r="B61" s="91"/>
      <c r="C61" s="91"/>
      <c r="D61" s="91"/>
      <c r="E61" s="91"/>
      <c r="F61" s="91"/>
      <c r="G61" s="91"/>
      <c r="H61" s="91"/>
      <c r="I61" s="91"/>
      <c r="J61" s="91"/>
      <c r="K61" s="50" t="str">
        <f>IF(OR(NOT(J50),(COLUMN()-3)-(B52+8)&lt;0,(B52+8+B53) - (COLUMN()-2) &lt;0),"",J50*(1-B51)/(B53+1)*B50)</f>
        <v/>
      </c>
      <c r="L61" s="50" t="str">
        <f>IF(OR(NOT(J50),(COLUMN()-3)-(B52+8)&lt;0,(B52+8+B53) - (COLUMN()-2) &lt;0),"",J50*(1-B51)/(B53+1)*B50)</f>
        <v/>
      </c>
      <c r="M61" s="50" t="str">
        <f>IF(OR(NOT(J50),(COLUMN()-3)-(B52+8)&lt;0,(B52+8+B53) - (COLUMN()-2) &lt;0),"",J50*(1-B51)/(B53+1)*B50)</f>
        <v/>
      </c>
      <c r="N61" s="50" t="str">
        <f>IF(OR(NOT(J50),(COLUMN()-3)-(B52+8)&lt;0,(B52+8+B53) - (COLUMN()-2) &lt;0),"",J50*(1-B51)/(B53+1)*B50)</f>
        <v/>
      </c>
      <c r="O61" s="56" t="str">
        <f>IF(OR(NOT(J50),(COLUMN()-3)-(B52+8)&lt;0,(B52+8+B53) - (COLUMN()-2) &lt;0),"",J50*(1-B51)/(B53+1)*B50)</f>
        <v/>
      </c>
      <c r="P61" s="56" t="str">
        <f>IF(OR(NOT(J50),(COLUMN()-3)-(B52+8)&lt;0,(B52+8+B53) - (COLUMN()-2) &lt;0),"",J50*(1-B51)/(B53+1)*B50)</f>
        <v/>
      </c>
      <c r="Q61" s="56" t="str">
        <f>IF(OR(NOT(J50),(COLUMN()-3)-(B52+8)&lt;0,(B52+8+B53) - (COLUMN()-2) &lt;0),"",J50*(1-B51)/(B53+1)*B50)</f>
        <v/>
      </c>
      <c r="R61" s="56" t="str">
        <f>IF(OR(NOT(J50),(COLUMN()-3)-(B52+8)&lt;0,(B52+8+B53) - (COLUMN()-2) &lt;0),"",J50*(1-B51)/(B53+1)*B50)</f>
        <v/>
      </c>
      <c r="S61" s="56" t="str">
        <f>IF(OR(NOT(J50),(COLUMN()-3)-(B52+8)&lt;0,(B52+8+B53) - (COLUMN()-2) &lt;0),"",J50*(1-B51)/(B53+1)*B50)</f>
        <v/>
      </c>
      <c r="T61" s="56" t="str">
        <f>IF(OR(NOT(J50),(COLUMN()-3)-(B52+8)&lt;0,(B52+8+B53) - (COLUMN()-2) &lt;0),"",J50*(1-B51)/(B53+1)*B50)</f>
        <v/>
      </c>
      <c r="U61" s="56" t="str">
        <f>IF(OR(NOT(J50),(COLUMN()-3)-(B52+8)&lt;0,(B52+8+B53) - (COLUMN()-2) &lt;0),"",J50*(1-B51)/(B53+1)*B50)</f>
        <v/>
      </c>
      <c r="V61" s="56" t="str">
        <f>IF(OR(NOT(J50),(COLUMN()-3)-(B52+8)&lt;0,(B52+8+B53) - (COLUMN()-2) &lt;0),"",J50*(1-B51)/(B53+1)*B50)</f>
        <v/>
      </c>
      <c r="W61" s="56" t="str">
        <f>IF(OR(NOT(J50),(COLUMN()-3)-(B52+8)&lt;0,(B52+8+B53) - (COLUMN()-2) &lt;0),"",J50*(1-B51)/(B53+1)*B50)</f>
        <v/>
      </c>
      <c r="X61" s="56" t="str">
        <f>IF(OR(NOT(J50),(COLUMN()-3)-(B52+8)&lt;0,(B52+8+B53) - (COLUMN()-2) &lt;0),"",J50*(1-B51)/(B53+1)*B50)</f>
        <v/>
      </c>
      <c r="Y61" s="56" t="str">
        <f>IF(OR(NOT(J50),(COLUMN()-3)-(B52+8)&lt;0,(B52+8+B53) - (COLUMN()-2) &lt;0),"",J50*(1-B51)/(B53+1)*B50)</f>
        <v/>
      </c>
      <c r="Z61" s="56" t="str">
        <f>IF(OR(NOT(J50),(COLUMN()-3)-(B52+8)&lt;0,(B52+8+B53) - (COLUMN()-2) &lt;0),"",J50*(1-B51)/(B53+1)*B50)</f>
        <v/>
      </c>
      <c r="AA61" s="72" t="str">
        <f>IF(OR(NOT(J50),(COLUMN()-3)-(B52+8)&lt;0,(B52+8+B53) - (COLUMN()-2) &lt;0),"",J50*(1-B51)/(B53+1)*B50)</f>
        <v/>
      </c>
      <c r="AB61" s="72" t="str">
        <f>IF(OR(NOT(J50),(COLUMN()-3)-(B52+8)&lt;0,(B52+8+B53) - (COLUMN()-2) &lt;0),"",J50*(1-B51)/(B53+1)*B50)</f>
        <v/>
      </c>
      <c r="AC61" s="72" t="str">
        <f>IF(OR(NOT(J50),(COLUMN()-3)-(B52+8)&lt;0,(B52+8+B53) - (COLUMN()-2) &lt;0),"",J50*(1-B51)/(B53+1)*B50)</f>
        <v/>
      </c>
      <c r="AD61" s="72" t="str">
        <f>IF(OR(NOT(J50),(COLUMN()-3)-(B52+8)&lt;0,(B52+8+B53) - (COLUMN()-2) &lt;0),"",J50*(1-B51)/(B53+1)*B50)</f>
        <v/>
      </c>
      <c r="AE61" s="72" t="str">
        <f>IF(OR(NOT(J50),(COLUMN()-3)-(B52+8)&lt;0,(B52+8+B53) - (COLUMN()-2) &lt;0),"",J50*(1-B51)/(B53+1)*B50)</f>
        <v/>
      </c>
      <c r="AF61" s="72" t="str">
        <f>IF(OR(NOT(J50),(COLUMN()-3)-(B52+8)&lt;0,(B52+8+B53) - (COLUMN()-2) &lt;0),"",J50*(1-B51)/(B53+1)*B50)</f>
        <v/>
      </c>
      <c r="AG61" s="91"/>
      <c r="AH61" s="91"/>
      <c r="AI61" s="91"/>
      <c r="AJ61" s="91"/>
    </row>
    <row r="62" spans="1:38" hidden="1">
      <c r="A62" s="91"/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50" t="str">
        <f>IF(OR(NOT(K50),(COLUMN()-3)-(B52+9)&lt;0,(B52+9+B53) - (COLUMN()-2) &lt;0),"",K50*(1-B51)/(B53+1)*B50)</f>
        <v/>
      </c>
      <c r="M62" s="50" t="str">
        <f>IF(OR(NOT(K50),(COLUMN()-3)-(B52+9)&lt;0,(B52+9+B53) - (COLUMN()-2) &lt;0),"",K50*(1-B51)/(B53+1)*B50)</f>
        <v/>
      </c>
      <c r="N62" s="50" t="str">
        <f>IF(OR(NOT(K50),(COLUMN()-3)-(B52+9)&lt;0,(B52+9+B53) - (COLUMN()-2) &lt;0),"",K50*(1-B51)/(B53+1)*B50)</f>
        <v/>
      </c>
      <c r="O62" s="56" t="str">
        <f>IF(OR(NOT(K50),(COLUMN()-3)-(B52+9)&lt;0,(B52+9+B53) - (COLUMN()-2) &lt;0),"",K50*(1-B51)/(B53+1)*B50)</f>
        <v/>
      </c>
      <c r="P62" s="56" t="str">
        <f>IF(OR(NOT(K50),(COLUMN()-3)-(B52+9)&lt;0,(B52+9+B53) - (COLUMN()-2) &lt;0),"",K50*(1-B51)/(B53+1)*B50)</f>
        <v/>
      </c>
      <c r="Q62" s="56" t="str">
        <f>IF(OR(NOT(K50),(COLUMN()-3)-(B52+9)&lt;0,(B52+9+B53) - (COLUMN()-2) &lt;0),"",K50*(1-B51)/(B53+1)*B50)</f>
        <v/>
      </c>
      <c r="R62" s="56" t="str">
        <f>IF(OR(NOT(K50),(COLUMN()-3)-(B52+9)&lt;0,(B52+9+B53) - (COLUMN()-2) &lt;0),"",K50*(1-B51)/(B53+1)*B50)</f>
        <v/>
      </c>
      <c r="S62" s="56" t="str">
        <f>IF(OR(NOT(K50),(COLUMN()-3)-(B52+9)&lt;0,(B52+9+B53) - (COLUMN()-2) &lt;0),"",K50*(1-B51)/(B53+1)*B50)</f>
        <v/>
      </c>
      <c r="T62" s="56" t="str">
        <f>IF(OR(NOT(K50),(COLUMN()-3)-(B52+9)&lt;0,(B52+9+B53) - (COLUMN()-2) &lt;0),"",K50*(1-B51)/(B53+1)*B50)</f>
        <v/>
      </c>
      <c r="U62" s="56" t="str">
        <f>IF(OR(NOT(K50),(COLUMN()-3)-(B52+9)&lt;0,(B52+9+B53) - (COLUMN()-2) &lt;0),"",K50*(1-B51)/(B53+1)*B50)</f>
        <v/>
      </c>
      <c r="V62" s="56" t="str">
        <f>IF(OR(NOT(K50),(COLUMN()-3)-(B52+9)&lt;0,(B52+9+B53) - (COLUMN()-2) &lt;0),"",K50*(1-B51)/(B53+1)*B50)</f>
        <v/>
      </c>
      <c r="W62" s="56" t="str">
        <f>IF(OR(NOT(K50),(COLUMN()-3)-(B52+9)&lt;0,(B52+9+B53) - (COLUMN()-2) &lt;0),"",K50*(1-B51)/(B53+1)*B50)</f>
        <v/>
      </c>
      <c r="X62" s="56" t="str">
        <f>IF(OR(NOT(K50),(COLUMN()-3)-(B52+9)&lt;0,(B52+9+B53) - (COLUMN()-2) &lt;0),"",K50*(1-B51)/(B53+1)*B50)</f>
        <v/>
      </c>
      <c r="Y62" s="56" t="str">
        <f>IF(OR(NOT(K50),(COLUMN()-3)-(B52+9)&lt;0,(B52+9+B53) - (COLUMN()-2) &lt;0),"",K50*(1-B51)/(B53+1)*B50)</f>
        <v/>
      </c>
      <c r="Z62" s="56" t="str">
        <f>IF(OR(NOT(K50),(COLUMN()-3)-(B52+9)&lt;0,(B52+9+B53) - (COLUMN()-2) &lt;0),"",K50*(1-B51)/(B53+1)*B50)</f>
        <v/>
      </c>
      <c r="AA62" s="72" t="str">
        <f>IF(OR(NOT(K50),(COLUMN()-3)-(B52+9)&lt;0,(B52+9+B53) - (COLUMN()-2) &lt;0),"",K50*(1-B51)/(B53+1)*B50)</f>
        <v/>
      </c>
      <c r="AB62" s="72" t="str">
        <f>IF(OR(NOT(K50),(COLUMN()-3)-(B52+9)&lt;0,(B52+9+B53) - (COLUMN()-2) &lt;0),"",K50*(1-B51)/(B53+1)*B50)</f>
        <v/>
      </c>
      <c r="AC62" s="72" t="str">
        <f>IF(OR(NOT(K50),(COLUMN()-3)-(B52+9)&lt;0,(B52+9+B53) - (COLUMN()-2) &lt;0),"",K50*(1-B51)/(B53+1)*B50)</f>
        <v/>
      </c>
      <c r="AD62" s="72" t="str">
        <f>IF(OR(NOT(K50),(COLUMN()-3)-(B52+9)&lt;0,(B52+9+B53) - (COLUMN()-2) &lt;0),"",K50*(1-B51)/(B53+1)*B50)</f>
        <v/>
      </c>
      <c r="AE62" s="72" t="str">
        <f>IF(OR(NOT(K50),(COLUMN()-3)-(B52+9)&lt;0,(B52+9+B53) - (COLUMN()-2) &lt;0),"",K50*(1-B51)/(B53+1)*B50)</f>
        <v/>
      </c>
      <c r="AF62" s="72" t="str">
        <f>IF(OR(NOT(K50),(COLUMN()-3)-(B52+9)&lt;0,(B52+9+B53) - (COLUMN()-2) &lt;0),"",K50*(1-B51)/(B53+1)*B50)</f>
        <v/>
      </c>
      <c r="AG62" s="72" t="str">
        <f>IF(OR(NOT(K50),(COLUMN()-3)-(B52+9)&lt;0,(B52+9+B53) - (COLUMN()-2) &lt;0),"",K50*(1-B51)/(B53+1)*B50)</f>
        <v/>
      </c>
      <c r="AH62" s="91"/>
      <c r="AI62" s="91"/>
      <c r="AJ62" s="91"/>
    </row>
    <row r="63" spans="1:38" hidden="1">
      <c r="A63" s="91"/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50" t="str">
        <f>IF(OR(NOT(L50),(COLUMN()-3)-(B52+10)&lt;0,(B52+10+B53) - (COLUMN()-2) &lt;0),"",L50*(1-B51)/(B53+1)*B50)</f>
        <v/>
      </c>
      <c r="N63" s="50" t="str">
        <f>IF(OR(NOT(L50),(COLUMN()-3)-(B52+10)&lt;0,(B52+10+B53) - (COLUMN()-2) &lt;0),"",L50*(1-B51)/(B53+1)*B50)</f>
        <v/>
      </c>
      <c r="O63" s="56" t="str">
        <f>IF(OR(NOT(L50),(COLUMN()-3)-(B52+10)&lt;0,(B52+10+B53) - (COLUMN()-2) &lt;0),"",L50*(1-B51)/(B53+1)*B50)</f>
        <v/>
      </c>
      <c r="P63" s="56" t="str">
        <f>IF(OR(NOT(L50),(COLUMN()-3)-(B52+10)&lt;0,(B52+10+B53) - (COLUMN()-2) &lt;0),"",L50*(1-B51)/(B53+1)*B50)</f>
        <v/>
      </c>
      <c r="Q63" s="56" t="str">
        <f>IF(OR(NOT(L50),(COLUMN()-3)-(B52+10)&lt;0,(B52+10+B53) - (COLUMN()-2) &lt;0),"",L50*(1-B51)/(B53+1)*B50)</f>
        <v/>
      </c>
      <c r="R63" s="56" t="str">
        <f>IF(OR(NOT(L50),(COLUMN()-3)-(B52+10)&lt;0,(B52+10+B53) - (COLUMN()-2) &lt;0),"",L50*(1-B51)/(B53+1)*B50)</f>
        <v/>
      </c>
      <c r="S63" s="56" t="str">
        <f>IF(OR(NOT(L50),(COLUMN()-3)-(B52+10)&lt;0,(B52+10+B53) - (COLUMN()-2) &lt;0),"",L50*(1-B51)/(B53+1)*B50)</f>
        <v/>
      </c>
      <c r="T63" s="56" t="str">
        <f>IF(OR(NOT(L50),(COLUMN()-3)-(B52+10)&lt;0,(B52+10+B53) - (COLUMN()-2) &lt;0),"",L50*(1-B51)/(B53+1)*B50)</f>
        <v/>
      </c>
      <c r="U63" s="56" t="str">
        <f>IF(OR(NOT(L50),(COLUMN()-3)-(B52+10)&lt;0,(B52+10+B53) - (COLUMN()-2) &lt;0),"",L50*(1-B51)/(B53+1)*B50)</f>
        <v/>
      </c>
      <c r="V63" s="56" t="str">
        <f>IF(OR(NOT(L50),(COLUMN()-3)-(B52+10)&lt;0,(B52+10+B53) - (COLUMN()-2) &lt;0),"",L50*(1-B51)/(B53+1)*B50)</f>
        <v/>
      </c>
      <c r="W63" s="56" t="str">
        <f>IF(OR(NOT(L50),(COLUMN()-3)-(B52+10)&lt;0,(B52+10+B53) - (COLUMN()-2) &lt;0),"",L50*(1-B51)/(B53+1)*B50)</f>
        <v/>
      </c>
      <c r="X63" s="56" t="str">
        <f>IF(OR(NOT(L50),(COLUMN()-3)-(B52+10)&lt;0,(B52+10+B53) - (COLUMN()-2) &lt;0),"",L50*(1-B51)/(B53+1)*B50)</f>
        <v/>
      </c>
      <c r="Y63" s="56" t="str">
        <f>IF(OR(NOT(L50),(COLUMN()-3)-(B52+10)&lt;0,(B52+10+B53) - (COLUMN()-2) &lt;0),"",L50*(1-B51)/(B53+1)*B50)</f>
        <v/>
      </c>
      <c r="Z63" s="56" t="str">
        <f>IF(OR(NOT(L50),(COLUMN()-3)-(B52+10)&lt;0,(B52+10+B53) - (COLUMN()-2) &lt;0),"",L50*(1-B51)/(B53+1)*B50)</f>
        <v/>
      </c>
      <c r="AA63" s="72" t="str">
        <f>IF(OR(NOT(L50),(COLUMN()-3)-(B52+10)&lt;0,(B52+10+B53) - (COLUMN()-2) &lt;0),"",L50*(1-B51)/(B53+1)*B50)</f>
        <v/>
      </c>
      <c r="AB63" s="72" t="str">
        <f>IF(OR(NOT(L50),(COLUMN()-3)-(B52+10)&lt;0,(B52+10+B53) - (COLUMN()-2) &lt;0),"",L50*(1-B51)/(B53+1)*B50)</f>
        <v/>
      </c>
      <c r="AC63" s="72" t="str">
        <f>IF(OR(NOT(L50),(COLUMN()-3)-(B52+10)&lt;0,(B52+10+B53) - (COLUMN()-2) &lt;0),"",L50*(1-B51)/(B53+1)*B50)</f>
        <v/>
      </c>
      <c r="AD63" s="72" t="str">
        <f>IF(OR(NOT(L50),(COLUMN()-3)-(B52+10)&lt;0,(B52+10+B53) - (COLUMN()-2) &lt;0),"",L50*(1-B51)/(B53+1)*B50)</f>
        <v/>
      </c>
      <c r="AE63" s="72" t="str">
        <f>IF(OR(NOT(L50),(COLUMN()-3)-(B52+10)&lt;0,(B52+10+B53) - (COLUMN()-2) &lt;0),"",L50*(1-B51)/(B53+1)*B50)</f>
        <v/>
      </c>
      <c r="AF63" s="72" t="str">
        <f>IF(OR(NOT(L50),(COLUMN()-3)-(B52+10)&lt;0,(B52+10+B53) - (COLUMN()-2) &lt;0),"",L50*(1-B51)/(B53+1)*B50)</f>
        <v/>
      </c>
      <c r="AG63" s="72" t="str">
        <f>IF(OR(NOT(L50),(COLUMN()-3)-(B52+10)&lt;0,(B52+10+B53) - (COLUMN()-2) &lt;0),"",L50*(1-B51)/(B53+1)*B50)</f>
        <v/>
      </c>
      <c r="AH63" s="72" t="str">
        <f>IF(OR(NOT(L50),(COLUMN()-3)-(B52+10)&lt;0,(B52+10+B53) - (COLUMN()-2) &lt;0),"",L50*(1-B51)/(B53+1)*B50)</f>
        <v/>
      </c>
      <c r="AI63" s="91"/>
      <c r="AJ63" s="91"/>
    </row>
    <row r="64" spans="1:38" hidden="1">
      <c r="A64" s="91"/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50" t="str">
        <f>IF(OR(NOT(M50),(COLUMN()-3)-(B52+11)&lt;0,(B52+11+B53) - (COLUMN()-2) &lt;0),"",M50*(1-B51)/(B53+1)*B50)</f>
        <v/>
      </c>
      <c r="O64" s="56" t="str">
        <f>IF(OR(NOT(M50),(COLUMN()-3)-(B52+11)&lt;0,(B52+11+B53) - (COLUMN()-2) &lt;0),"",M50*(1-B51)/(B53+1)*B50)</f>
        <v/>
      </c>
      <c r="P64" s="56" t="str">
        <f>IF(OR(NOT(M50),(COLUMN()-3)-(B52+11)&lt;0,(B52+11+B53) - (COLUMN()-2) &lt;0),"",M50*(1-B51)/(B53+1)*B50)</f>
        <v/>
      </c>
      <c r="Q64" s="56" t="str">
        <f>IF(OR(NOT(M50),(COLUMN()-3)-(B52+11)&lt;0,(B52+11+B53) - (COLUMN()-2) &lt;0),"",M50*(1-B51)/(B53+1)*B50)</f>
        <v/>
      </c>
      <c r="R64" s="56" t="str">
        <f>IF(OR(NOT(M50),(COLUMN()-3)-(B52+11)&lt;0,(B52+11+B53) - (COLUMN()-2) &lt;0),"",M50*(1-B51)/(B53+1)*B50)</f>
        <v/>
      </c>
      <c r="S64" s="56" t="str">
        <f>IF(OR(NOT(M50),(COLUMN()-3)-(B52+11)&lt;0,(B52+11+B53) - (COLUMN()-2) &lt;0),"",M50*(1-B51)/(B53+1)*B50)</f>
        <v/>
      </c>
      <c r="T64" s="56" t="str">
        <f>IF(OR(NOT(M50),(COLUMN()-3)-(B52+11)&lt;0,(B52+11+B53) - (COLUMN()-2) &lt;0),"",M50*(1-B51)/(B53+1)*B50)</f>
        <v/>
      </c>
      <c r="U64" s="56" t="str">
        <f>IF(OR(NOT(M50),(COLUMN()-3)-(B52+11)&lt;0,(B52+11+B53) - (COLUMN()-2) &lt;0),"",M50*(1-B51)/(B53+1)*B50)</f>
        <v/>
      </c>
      <c r="V64" s="56" t="str">
        <f>IF(OR(NOT(M50),(COLUMN()-3)-(B52+11)&lt;0,(B52+11+B53) - (COLUMN()-2) &lt;0),"",M50*(1-B51)/(B53+1)*B50)</f>
        <v/>
      </c>
      <c r="W64" s="56" t="str">
        <f>IF(OR(NOT(M50),(COLUMN()-3)-(B52+11)&lt;0,(B52+11+B53) - (COLUMN()-2) &lt;0),"",M50*(1-B51)/(B53+1)*B50)</f>
        <v/>
      </c>
      <c r="X64" s="56" t="str">
        <f>IF(OR(NOT(M50),(COLUMN()-3)-(B52+11)&lt;0,(B52+11+B53) - (COLUMN()-2) &lt;0),"",M50*(1-B51)/(B53+1)*B50)</f>
        <v/>
      </c>
      <c r="Y64" s="56" t="str">
        <f>IF(OR(NOT(M50),(COLUMN()-3)-(B52+11)&lt;0,(B52+11+B53) - (COLUMN()-2) &lt;0),"",M50*(1-B51)/(B53+1)*B50)</f>
        <v/>
      </c>
      <c r="Z64" s="56" t="str">
        <f>IF(OR(NOT(M50),(COLUMN()-3)-(B52+11)&lt;0,(B52+11+B53) - (COLUMN()-2) &lt;0),"",M50*(1-B51)/(B53+1)*B50)</f>
        <v/>
      </c>
      <c r="AA64" s="72" t="str">
        <f>IF(OR(NOT(M50),(COLUMN()-3)-(B52+11)&lt;0,(B52+11+B53) - (COLUMN()-2) &lt;0),"",M50*(1-B51)/(B53+1)*B50)</f>
        <v/>
      </c>
      <c r="AB64" s="72" t="str">
        <f>IF(OR(NOT(M50),(COLUMN()-3)-(B52+11)&lt;0,(B52+11+B53) - (COLUMN()-2) &lt;0),"",M50*(1-B51)/(B53+1)*B50)</f>
        <v/>
      </c>
      <c r="AC64" s="72" t="str">
        <f>IF(OR(NOT(M50),(COLUMN()-3)-(B52+11)&lt;0,(B52+11+B53) - (COLUMN()-2) &lt;0),"",M50*(1-B51)/(B53+1)*B50)</f>
        <v/>
      </c>
      <c r="AD64" s="72" t="str">
        <f>IF(OR(NOT(M50),(COLUMN()-3)-(B52+11)&lt;0,(B52+11+B53) - (COLUMN()-2) &lt;0),"",M50*(1-B51)/(B53+1)*B50)</f>
        <v/>
      </c>
      <c r="AE64" s="72" t="str">
        <f>IF(OR(NOT(M50),(COLUMN()-3)-(B52+11)&lt;0,(B52+11+B53) - (COLUMN()-2) &lt;0),"",M50*(1-B51)/(B53+1)*B50)</f>
        <v/>
      </c>
      <c r="AF64" s="72" t="str">
        <f>IF(OR(NOT(M50),(COLUMN()-3)-(B52+11)&lt;0,(B52+11+B53) - (COLUMN()-2) &lt;0),"",M50*(1-B51)/(B53+1)*B50)</f>
        <v/>
      </c>
      <c r="AG64" s="72" t="str">
        <f>IF(OR(NOT(M50),(COLUMN()-3)-(B52+11)&lt;0,(B52+11+B53) - (COLUMN()-2) &lt;0),"",M50*(1-B51)/(B53+1)*B50)</f>
        <v/>
      </c>
      <c r="AH64" s="72" t="str">
        <f>IF(OR(NOT(M50),(COLUMN()-3)-(B52+11)&lt;0,(B52+11+B53) - (COLUMN()-2) &lt;0),"",M50*(1-B51)/(B53+1)*B50)</f>
        <v/>
      </c>
      <c r="AI64" s="72" t="str">
        <f>IF(OR(NOT(M50),(COLUMN()-3)-(B52+11)&lt;0,(B52+11+B53) - (COLUMN()-2) &lt;0),"",M50*(1-B51)/(B53+1)*B50)</f>
        <v/>
      </c>
      <c r="AJ64" s="91"/>
    </row>
    <row r="65" spans="1:38" hidden="1">
      <c r="A65" s="91"/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56" t="str">
        <f>IF(OR(NOT(N50),(COLUMN()-3)-(B52+12)&lt;0,(B52+12+B53) - (COLUMN()-2) &lt;0),"",N50*(1-B51)/(B53+1)*B50)</f>
        <v/>
      </c>
      <c r="P65" s="56" t="str">
        <f>IF(OR(NOT(N50),(COLUMN()-3)-(B52+12)&lt;0,(B52+12+B53) - (COLUMN()-2) &lt;0),"",N50*(1-B51)/(B53+1)*B50)</f>
        <v/>
      </c>
      <c r="Q65" s="56" t="str">
        <f>IF(OR(NOT(N50),(COLUMN()-3)-(B52+12)&lt;0,(B52+12+B53) - (COLUMN()-2) &lt;0),"",N50*(1-B51)/(B53+1)*B50)</f>
        <v/>
      </c>
      <c r="R65" s="56" t="str">
        <f>IF(OR(NOT(N50),(COLUMN()-3)-(B52+12)&lt;0,(B52+12+B53) - (COLUMN()-2) &lt;0),"",N50*(1-B51)/(B53+1)*B50)</f>
        <v/>
      </c>
      <c r="S65" s="56" t="str">
        <f>IF(OR(NOT(N50),(COLUMN()-3)-(B52+12)&lt;0,(B52+12+B53) - (COLUMN()-2) &lt;0),"",N50*(1-B51)/(B53+1)*B50)</f>
        <v/>
      </c>
      <c r="T65" s="56" t="str">
        <f>IF(OR(NOT(N50),(COLUMN()-3)-(B52+12)&lt;0,(B52+12+B53) - (COLUMN()-2) &lt;0),"",N50*(1-B51)/(B53+1)*B50)</f>
        <v/>
      </c>
      <c r="U65" s="56" t="str">
        <f>IF(OR(NOT(N50),(COLUMN()-3)-(B52+12)&lt;0,(B52+12+B53) - (COLUMN()-2) &lt;0),"",N50*(1-B51)/(B53+1)*B50)</f>
        <v/>
      </c>
      <c r="V65" s="56" t="str">
        <f>IF(OR(NOT(N50),(COLUMN()-3)-(B52+12)&lt;0,(B52+12+B53) - (COLUMN()-2) &lt;0),"",N50*(1-B51)/(B53+1)*B50)</f>
        <v/>
      </c>
      <c r="W65" s="56" t="str">
        <f>IF(OR(NOT(N50),(COLUMN()-3)-(B52+12)&lt;0,(B52+12+B53) - (COLUMN()-2) &lt;0),"",N50*(1-B51)/(B53+1)*B50)</f>
        <v/>
      </c>
      <c r="X65" s="56" t="str">
        <f>IF(OR(NOT(N50),(COLUMN()-3)-(B52+12)&lt;0,(B52+12+B53) - (COLUMN()-2) &lt;0),"",N50*(1-B51)/(B53+1)*B50)</f>
        <v/>
      </c>
      <c r="Y65" s="56" t="str">
        <f>IF(OR(NOT(N50),(COLUMN()-3)-(B52+12)&lt;0,(B52+12+B53) - (COLUMN()-2) &lt;0),"",N50*(1-B51)/(B53+1)*B50)</f>
        <v/>
      </c>
      <c r="Z65" s="56" t="str">
        <f>IF(OR(NOT(N50),(COLUMN()-3)-(B52+12)&lt;0,(B52+12+B53) - (COLUMN()-2) &lt;0),"",N50*(1-B51)/(B53+1)*B50)</f>
        <v/>
      </c>
      <c r="AA65" s="72" t="str">
        <f>IF(OR(NOT(N50),(COLUMN()-3)-(B52+12)&lt;0,(B52+12+B53) - (COLUMN()-2) &lt;0),"",N50*(1-B51)/(B53+1)*B50)</f>
        <v/>
      </c>
      <c r="AB65" s="72" t="str">
        <f>IF(OR(NOT(N50),(COLUMN()-3)-(B52+12)&lt;0,(B52+12+B53) - (COLUMN()-2) &lt;0),"",N50*(1-B51)/(B53+1)*B50)</f>
        <v/>
      </c>
      <c r="AC65" s="72" t="str">
        <f>IF(OR(NOT(N50),(COLUMN()-3)-(B52+12)&lt;0,(B52+12+B53) - (COLUMN()-2) &lt;0),"",N50*(1-B51)/(B53+1)*B50)</f>
        <v/>
      </c>
      <c r="AD65" s="72" t="str">
        <f>IF(OR(NOT(N50),(COLUMN()-3)-(B52+12)&lt;0,(B52+12+B53) - (COLUMN()-2) &lt;0),"",N50*(1-B51)/(B53+1)*B50)</f>
        <v/>
      </c>
      <c r="AE65" s="72" t="str">
        <f>IF(OR(NOT(N50),(COLUMN()-3)-(B52+12)&lt;0,(B52+12+B53) - (COLUMN()-2) &lt;0),"",N50*(1-B51)/(B53+1)*B50)</f>
        <v/>
      </c>
      <c r="AF65" s="72" t="str">
        <f>IF(OR(NOT(N50),(COLUMN()-3)-(B52+12)&lt;0,(B52+12+B53) - (COLUMN()-2) &lt;0),"",N50*(1-B51)/(B53+1)*B50)</f>
        <v/>
      </c>
      <c r="AG65" s="72" t="str">
        <f>IF(OR(NOT(N50),(COLUMN()-3)-(B52+12)&lt;0,(B52+12+B53) - (COLUMN()-2) &lt;0),"",N50*(1-B51)/(B53+1)*B50)</f>
        <v/>
      </c>
      <c r="AH65" s="72" t="str">
        <f>IF(OR(NOT(N50),(COLUMN()-3)-(B52+12)&lt;0,(B52+12+B53) - (COLUMN()-2) &lt;0),"",N50*(1-B51)/(B53+1)*B50)</f>
        <v/>
      </c>
      <c r="AI65" s="72" t="str">
        <f>IF(OR(NOT(N50),(COLUMN()-3)-(B52+12)&lt;0,(B52+12+B53) - (COLUMN()-2) &lt;0),"",N50*(1-B51)/(B53+1)*B50)</f>
        <v/>
      </c>
      <c r="AJ65" s="72" t="str">
        <f>IF(OR(NOT(N50),(COLUMN()-3)-(B52+12)&lt;0,(B52+12+B53) - (COLUMN()-2) &lt;0),"",N50*(1-B51)/(B53+1)*B50)</f>
        <v/>
      </c>
    </row>
    <row r="66" spans="1:38">
      <c r="A66" s="90" t="s">
        <v>85</v>
      </c>
      <c r="B66" s="52"/>
      <c r="C66" s="92" t="str">
        <f>IF(-SUM(C51:C52)*B66,-SUM(C51:C52)*B66,"")</f>
        <v/>
      </c>
      <c r="D66" s="92" t="str">
        <f>IF(-SUM(D51:D53)*B66,-SUM(D51:D53)*B66,"")</f>
        <v/>
      </c>
      <c r="E66" s="92" t="str">
        <f>IF(-SUM(E51:E53)*B66,-SUM(E51:E53)*B66,"")</f>
        <v/>
      </c>
      <c r="F66" s="92" t="str">
        <f>IF(-SUM(F51:F53)*B66,-SUM(F51:F53)*B66,"")</f>
        <v/>
      </c>
      <c r="G66" s="92" t="str">
        <f>IF(-SUM(G51:G53)*B66,-SUM(G51:G53)*B66,"")</f>
        <v/>
      </c>
      <c r="H66" s="92" t="str">
        <f>IF(-SUM(H51:H53)*B66,-SUM(H51:H53)*B66,"")</f>
        <v/>
      </c>
      <c r="I66" s="92" t="str">
        <f>IF(-SUM(I51:I53)*B66,-SUM(I51:I53)*B66,"")</f>
        <v/>
      </c>
      <c r="J66" s="92" t="str">
        <f>IF(-SUM(J51:J53)*B66,-SUM(J51:J53)*B66,"")</f>
        <v/>
      </c>
      <c r="K66" s="92" t="str">
        <f>IF(-SUM(K51:K53)*B66,-SUM(K51:K53)*B66,"")</f>
        <v/>
      </c>
      <c r="L66" s="92" t="str">
        <f>IF(-SUM(L51:L53)*B66,-SUM(L51:L53)*B66,"")</f>
        <v/>
      </c>
      <c r="M66" s="92" t="str">
        <f>IF(-SUM(M51:M53)*B66,-SUM(M51:M53)*B66,"")</f>
        <v/>
      </c>
      <c r="N66" s="92" t="str">
        <f>IF(-SUM(N51:N53)*B66,-SUM(N51:N53)*B66,"")</f>
        <v/>
      </c>
      <c r="O66" s="92" t="str">
        <f>IF(-SUM(O52:O53)*B66,-SUM(O52:O53)*B66,"")</f>
        <v/>
      </c>
      <c r="P66" s="92" t="str">
        <f>IF(-SUM(P52:P53)*B66,-SUM(P52:P53)*B66,"")</f>
        <v/>
      </c>
      <c r="Q66" s="92" t="str">
        <f>IF(-SUM(Q52:Q53)*B66,-SUM(Q52:Q53)*B66,"")</f>
        <v/>
      </c>
      <c r="R66" s="92" t="str">
        <f>IF(-SUM(R52:R53)*B66,-SUM(R52:R53)*B66,"")</f>
        <v/>
      </c>
      <c r="S66" s="92" t="str">
        <f>IF(-SUM(S52:S53)*B66,-SUM(S52:S53)*B66,"")</f>
        <v/>
      </c>
      <c r="T66" s="92" t="str">
        <f>IF(-SUM(T52:T53)*B66,-SUM(T52:T53)*B66,"")</f>
        <v/>
      </c>
      <c r="U66" s="92" t="str">
        <f>IF(-SUM(U52:U53)*B66,-SUM(U52:U53)*B66,"")</f>
        <v/>
      </c>
      <c r="V66" s="92" t="str">
        <f>IF(-SUM(V52:V53)*B66,-SUM(V52:V53)*B66,"")</f>
        <v/>
      </c>
      <c r="W66" s="92" t="str">
        <f>IF(-SUM(W52:W53)*B66,-SUM(W52:W53)*B66,"")</f>
        <v/>
      </c>
      <c r="X66" s="92" t="str">
        <f>IF(-SUM(X52:X53)*B66,-SUM(X52:X53)*B66,"")</f>
        <v/>
      </c>
      <c r="Y66" s="92" t="str">
        <f>IF(-SUM(Y52:Y53)*B66,-SUM(Y52:Y53)*B66,"")</f>
        <v/>
      </c>
      <c r="Z66" s="92" t="str">
        <f>IF(-SUM(Z53)*B66,-Z53*B66,"")</f>
        <v/>
      </c>
      <c r="AA66" s="92" t="str">
        <f>IF(-SUM(AA53),-AA53*B66,"")</f>
        <v/>
      </c>
      <c r="AB66" s="92" t="str">
        <f>IF(-SUM(AB53)*B66,-AB53*B66,"")</f>
        <v/>
      </c>
      <c r="AC66" s="92" t="str">
        <f>IF(-SUM(AC53)*B66,-AC53*B66,"")</f>
        <v/>
      </c>
      <c r="AD66" s="92" t="str">
        <f>IF(-SUM(AD53)*B66,-AD53*B66,"")</f>
        <v/>
      </c>
      <c r="AE66" s="92" t="str">
        <f>IF(-SUM(AE53)*B66,-AE53*B66,"")</f>
        <v/>
      </c>
      <c r="AF66" s="92" t="str">
        <f>IF(-SUM(AF53)*B66,-AF53*B66,"")</f>
        <v/>
      </c>
      <c r="AG66" s="92" t="str">
        <f>IF(-SUM(AG53)*B66,-AG53*B66,"")</f>
        <v/>
      </c>
      <c r="AH66" s="92" t="str">
        <f>IF(-SUM(AH53)*B66,-AH53*B66,"")</f>
        <v/>
      </c>
      <c r="AI66" s="92" t="str">
        <f>IF(-SUM(AI53)*B66,-AI53*B66,"")</f>
        <v/>
      </c>
      <c r="AJ66" s="92" t="str">
        <f>IF(-SUM(AJ53)*B66,-AJ53*B66,"")</f>
        <v/>
      </c>
    </row>
    <row r="67" spans="1:38" ht="15" thickBot="1">
      <c r="A67" s="90" t="s">
        <v>86</v>
      </c>
      <c r="B67" s="4"/>
      <c r="C67" s="92" t="str">
        <f>IF(-B67*C50,-B67*C50,"")</f>
        <v/>
      </c>
      <c r="D67" s="92" t="str">
        <f>IF(-B67*D50,-B67*D50,"")</f>
        <v/>
      </c>
      <c r="E67" s="92" t="str">
        <f>IF(-B67*E50,-B67*E50,"")</f>
        <v/>
      </c>
      <c r="F67" s="92" t="str">
        <f>IF(-B67*F50,-B67*F50,"")</f>
        <v/>
      </c>
      <c r="G67" s="92" t="str">
        <f>IF(-B67*G50,-B67*G50,"")</f>
        <v/>
      </c>
      <c r="H67" s="92" t="str">
        <f>IF(-B67*H50,-B67*H50,"")</f>
        <v/>
      </c>
      <c r="I67" s="92" t="str">
        <f>IF(-B67*I50,-B67*I50,"")</f>
        <v/>
      </c>
      <c r="J67" s="92" t="str">
        <f>IF(-B67*J50,-B67*J50,"")</f>
        <v/>
      </c>
      <c r="K67" s="92" t="str">
        <f>IF(-B67*K50,-B67*K50,"")</f>
        <v/>
      </c>
      <c r="L67" s="92" t="str">
        <f>IF(-B67*L50,-B67*L50,"")</f>
        <v/>
      </c>
      <c r="M67" s="92" t="str">
        <f>IF(-B67*M50,-B67*M50,"")</f>
        <v/>
      </c>
      <c r="N67" s="92" t="str">
        <f>IF(-B67*N50,-B67*N50,"")</f>
        <v/>
      </c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</row>
    <row r="68" spans="1:38" ht="18.600000000000001" thickBot="1">
      <c r="B68" s="96" t="s">
        <v>87</v>
      </c>
      <c r="C68" s="93">
        <f>SUM(C51:C52)+SUM(C66:C67)</f>
        <v>0</v>
      </c>
      <c r="D68" s="93">
        <f>SUM(D51:D53)+SUM(D66:D67)</f>
        <v>0</v>
      </c>
      <c r="E68" s="93">
        <f t="shared" ref="E68" si="16">SUM(E51:E53)+SUM(E66:E67)</f>
        <v>0</v>
      </c>
      <c r="F68" s="93">
        <f t="shared" ref="F68" si="17">SUM(F51:F53)+SUM(F66:F67)</f>
        <v>0</v>
      </c>
      <c r="G68" s="93">
        <f t="shared" ref="G68:N68" si="18">SUM(G51:G53)+SUM(G66:G67)</f>
        <v>0</v>
      </c>
      <c r="H68" s="93">
        <f t="shared" si="18"/>
        <v>0</v>
      </c>
      <c r="I68" s="93">
        <f t="shared" si="18"/>
        <v>0</v>
      </c>
      <c r="J68" s="93">
        <f t="shared" si="18"/>
        <v>0</v>
      </c>
      <c r="K68" s="93">
        <f t="shared" si="18"/>
        <v>0</v>
      </c>
      <c r="L68" s="93">
        <f t="shared" si="18"/>
        <v>0</v>
      </c>
      <c r="M68" s="93">
        <f t="shared" si="18"/>
        <v>0</v>
      </c>
      <c r="N68" s="93">
        <f t="shared" si="18"/>
        <v>0</v>
      </c>
      <c r="O68" s="120">
        <f>SUM(O52:O53)+SUM(O66)</f>
        <v>0</v>
      </c>
      <c r="P68" s="120">
        <f t="shared" ref="P68:Y68" si="19">SUM(P52:P53)+SUM(P66)</f>
        <v>0</v>
      </c>
      <c r="Q68" s="120">
        <f t="shared" si="19"/>
        <v>0</v>
      </c>
      <c r="R68" s="120">
        <f t="shared" si="19"/>
        <v>0</v>
      </c>
      <c r="S68" s="120">
        <f t="shared" si="19"/>
        <v>0</v>
      </c>
      <c r="T68" s="120">
        <f t="shared" si="19"/>
        <v>0</v>
      </c>
      <c r="U68" s="120">
        <f t="shared" si="19"/>
        <v>0</v>
      </c>
      <c r="V68" s="120">
        <f t="shared" si="19"/>
        <v>0</v>
      </c>
      <c r="W68" s="120">
        <f t="shared" si="19"/>
        <v>0</v>
      </c>
      <c r="X68" s="120">
        <f t="shared" si="19"/>
        <v>0</v>
      </c>
      <c r="Y68" s="120">
        <f t="shared" si="19"/>
        <v>0</v>
      </c>
      <c r="Z68" s="120">
        <f>SUM(Z53)+SUM(Z66)</f>
        <v>0</v>
      </c>
      <c r="AA68" s="94">
        <f t="shared" ref="AA68:AJ68" si="20">SUM(AA53)+SUM(AA66)</f>
        <v>0</v>
      </c>
      <c r="AB68" s="94">
        <f t="shared" si="20"/>
        <v>0</v>
      </c>
      <c r="AC68" s="94">
        <f t="shared" si="20"/>
        <v>0</v>
      </c>
      <c r="AD68" s="94">
        <f t="shared" si="20"/>
        <v>0</v>
      </c>
      <c r="AE68" s="94">
        <f t="shared" si="20"/>
        <v>0</v>
      </c>
      <c r="AF68" s="94">
        <f t="shared" si="20"/>
        <v>0</v>
      </c>
      <c r="AG68" s="94">
        <f t="shared" si="20"/>
        <v>0</v>
      </c>
      <c r="AH68" s="94">
        <f t="shared" si="20"/>
        <v>0</v>
      </c>
      <c r="AI68" s="94">
        <f t="shared" si="20"/>
        <v>0</v>
      </c>
      <c r="AJ68" s="94">
        <f t="shared" si="20"/>
        <v>0</v>
      </c>
    </row>
    <row r="69" spans="1:38" ht="18">
      <c r="B69" s="78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8">
      <c r="A70" s="86" t="str">
        <f>IF('Reverse Engineering Valuation'!A37 = "","    ---    ",'Reverse Engineering Valuation'!A37)</f>
        <v xml:space="preserve">    ---    </v>
      </c>
      <c r="B70" s="87" t="str">
        <f>IF(ROUND(B76,1)&gt;0,CONCATENATE("Under by ",ROUND(B76,1)), IF(ROUND(B76,1)&lt;0, CONCATENATE("OVER BY ",ROUND(B76,1)), "You Matched"))</f>
        <v>You Matched</v>
      </c>
      <c r="C70" s="85">
        <f t="shared" ref="C70:N70" si="21">C49</f>
        <v>45292</v>
      </c>
      <c r="D70" s="85">
        <f t="shared" si="21"/>
        <v>45323</v>
      </c>
      <c r="E70" s="85">
        <f t="shared" si="21"/>
        <v>45352</v>
      </c>
      <c r="F70" s="85">
        <f t="shared" si="21"/>
        <v>45383</v>
      </c>
      <c r="G70" s="85">
        <f t="shared" si="21"/>
        <v>45413</v>
      </c>
      <c r="H70" s="85">
        <f t="shared" si="21"/>
        <v>45444</v>
      </c>
      <c r="I70" s="85">
        <f t="shared" si="21"/>
        <v>45474</v>
      </c>
      <c r="J70" s="85">
        <f t="shared" si="21"/>
        <v>45505</v>
      </c>
      <c r="K70" s="85">
        <f t="shared" si="21"/>
        <v>45536</v>
      </c>
      <c r="L70" s="85">
        <f t="shared" si="21"/>
        <v>45566</v>
      </c>
      <c r="M70" s="85">
        <f t="shared" si="21"/>
        <v>45597</v>
      </c>
      <c r="N70" s="85">
        <f t="shared" si="21"/>
        <v>45627</v>
      </c>
      <c r="O70" s="121" t="str">
        <f t="shared" ref="O70:AJ70" si="22" xml:space="preserve">  CONCATENATE("Ext +", COLUMN()-14)</f>
        <v>Ext +1</v>
      </c>
      <c r="P70" s="121" t="str">
        <f t="shared" si="22"/>
        <v>Ext +2</v>
      </c>
      <c r="Q70" s="121" t="str">
        <f t="shared" si="22"/>
        <v>Ext +3</v>
      </c>
      <c r="R70" s="121" t="str">
        <f t="shared" si="22"/>
        <v>Ext +4</v>
      </c>
      <c r="S70" s="121" t="str">
        <f t="shared" si="22"/>
        <v>Ext +5</v>
      </c>
      <c r="T70" s="121" t="str">
        <f t="shared" si="22"/>
        <v>Ext +6</v>
      </c>
      <c r="U70" s="121" t="str">
        <f t="shared" si="22"/>
        <v>Ext +7</v>
      </c>
      <c r="V70" s="121" t="str">
        <f t="shared" si="22"/>
        <v>Ext +8</v>
      </c>
      <c r="W70" s="121" t="str">
        <f t="shared" si="22"/>
        <v>Ext +9</v>
      </c>
      <c r="X70" s="121" t="str">
        <f t="shared" si="22"/>
        <v>Ext +10</v>
      </c>
      <c r="Y70" s="121" t="str">
        <f t="shared" si="22"/>
        <v>Ext +11</v>
      </c>
      <c r="Z70" s="121" t="str">
        <f t="shared" si="22"/>
        <v>Ext +12</v>
      </c>
      <c r="AA70" s="88" t="str">
        <f t="shared" si="22"/>
        <v>Ext +13</v>
      </c>
      <c r="AB70" s="88" t="str">
        <f t="shared" si="22"/>
        <v>Ext +14</v>
      </c>
      <c r="AC70" s="88" t="str">
        <f t="shared" si="22"/>
        <v>Ext +15</v>
      </c>
      <c r="AD70" s="88" t="str">
        <f t="shared" si="22"/>
        <v>Ext +16</v>
      </c>
      <c r="AE70" s="88" t="str">
        <f t="shared" si="22"/>
        <v>Ext +17</v>
      </c>
      <c r="AF70" s="88" t="str">
        <f t="shared" si="22"/>
        <v>Ext +18</v>
      </c>
      <c r="AG70" s="88" t="str">
        <f t="shared" si="22"/>
        <v>Ext +19</v>
      </c>
      <c r="AH70" s="88" t="str">
        <f t="shared" si="22"/>
        <v>Ext +20</v>
      </c>
      <c r="AI70" s="88" t="str">
        <f t="shared" si="22"/>
        <v>Ext +21</v>
      </c>
      <c r="AJ70" s="88" t="str">
        <f t="shared" si="22"/>
        <v>Ext +22</v>
      </c>
    </row>
    <row r="71" spans="1:38">
      <c r="A71" s="90" t="str">
        <f>A50</f>
        <v xml:space="preserve">Number of customers @ </v>
      </c>
      <c r="B71" s="50">
        <f>'Reverse Engineering Valuation'!B37</f>
        <v>0</v>
      </c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1"/>
      <c r="AL71" s="1"/>
    </row>
    <row r="72" spans="1:38">
      <c r="A72" s="90" t="s">
        <v>80</v>
      </c>
      <c r="B72" s="52"/>
      <c r="C72" s="50" t="str">
        <f>IF(C71*B72*B71,C71*B72*B71,"")</f>
        <v/>
      </c>
      <c r="D72" s="50" t="str">
        <f>IF(D71*B72*B71,D71*B72*B71,"")</f>
        <v/>
      </c>
      <c r="E72" s="50" t="str">
        <f>IF(E71*B72*B71,E71*B72*B71,"")</f>
        <v/>
      </c>
      <c r="F72" s="50" t="str">
        <f>IF(F71*B72*B71,F71*B72*B71,"")</f>
        <v/>
      </c>
      <c r="G72" s="50" t="str">
        <f>IF(G71*B72*B71,G71*B72*B71,"")</f>
        <v/>
      </c>
      <c r="H72" s="50" t="str">
        <f>IF(H71*B72*B71,H71*B72*B71,"")</f>
        <v/>
      </c>
      <c r="I72" s="50" t="str">
        <f>IF(I71*B72*B71,I71*B72*B71,"")</f>
        <v/>
      </c>
      <c r="J72" s="50" t="str">
        <f>IF(J71*B72*B71,J71*B72*B71,"")</f>
        <v/>
      </c>
      <c r="K72" s="50" t="str">
        <f>IF(K71*B72*B71,K71*B72*B71,"")</f>
        <v/>
      </c>
      <c r="L72" s="50" t="str">
        <f>IF(L71*B72*B71,L71*B72*B71,"")</f>
        <v/>
      </c>
      <c r="M72" s="50" t="str">
        <f>IF(M71*B72*B71,M71*B72*B71,"")</f>
        <v/>
      </c>
      <c r="N72" s="50" t="str">
        <f>IF(N71*B72*B71,N71*B72*B71,"")</f>
        <v/>
      </c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1"/>
    </row>
    <row r="73" spans="1:38">
      <c r="A73" s="90" t="s">
        <v>81</v>
      </c>
      <c r="B73" s="53"/>
      <c r="C73" s="50" t="str">
        <f>IF(IF((COLUMN()-2-B73)&gt;0,INDEX(C71:Z71,1, (COLUMN()-2-B73)),0)&gt;=1,(B71* IF((COLUMN()-2-B73)&gt;0,INDEX(C71:Z71,1, (COLUMN()-2-B73)),0)*(1-B72))/(B74+1),"")</f>
        <v/>
      </c>
      <c r="D73" s="50" t="str">
        <f>IF(IF((COLUMN()-2-B73)&gt;0,INDEX(C71:Z71,1, (COLUMN()-2-B73)),0)&gt;=1,(B71* IF((COLUMN()-2-B73)&gt;0,INDEX(C71:Z71,1, (COLUMN()-2-B73)),0)*(1-B72))/(B74+1),"")</f>
        <v/>
      </c>
      <c r="E73" s="50" t="str">
        <f>IF(IF((COLUMN()-2-B73)&gt;0,INDEX(C71:Z71,1, (COLUMN()-2-B73)),0)&gt;=1,(B71* IF((COLUMN()-2-B73)&gt;0,INDEX(C71:Z71,1, (COLUMN()-2-B73)),0)*(1-B72))/(B74+1),"")</f>
        <v/>
      </c>
      <c r="F73" s="50" t="str">
        <f>IF(IF((COLUMN()-2-B73)&gt;0,INDEX(C71:Z71,1, (COLUMN()-2-B73)),0)&gt;=1,(B71* IF((COLUMN()-2-B73)&gt;0,INDEX(C71:Z71,1, (COLUMN()-2-B73)),0)*(1-B72))/(B74+1),"")</f>
        <v/>
      </c>
      <c r="G73" s="50" t="str">
        <f>IF(IF((COLUMN()-2-B73)&gt;0,INDEX(C71:Z71,1, (COLUMN()-2-B73)),0)&gt;=1,(B71* IF((COLUMN()-2-B73)&gt;0,INDEX(C71:Z71,1, (COLUMN()-2-B73)),0)*(1-B72))/(B74+1),"")</f>
        <v/>
      </c>
      <c r="H73" s="50" t="str">
        <f>IF(IF((COLUMN()-2-B73)&gt;0,INDEX(C71:Z71,1, (COLUMN()-2-B73)),0)&gt;=1,(B71* IF((COLUMN()-2-B73)&gt;0,INDEX(C71:Z71,1, (COLUMN()-2-B73)),0)*(1-B72))/(B74+1),"")</f>
        <v/>
      </c>
      <c r="I73" s="50" t="str">
        <f>IF(IF((COLUMN()-2-B73)&gt;0,INDEX(C71:Z71,1, (COLUMN()-2-B73)),0)&gt;=1,(B71* IF((COLUMN()-2-B73)&gt;0,INDEX(C71:Z71,1, (COLUMN()-2-B73)),0)*(1-B72))/(B74+1),"")</f>
        <v/>
      </c>
      <c r="J73" s="50" t="str">
        <f>IF(IF((COLUMN()-2-B73)&gt;0,INDEX(C71:Z71,1, (COLUMN()-2-B73)),0)&gt;=1,(B71* IF((COLUMN()-2-B73)&gt;0,INDEX(C71:Z71,1, (COLUMN()-2-B73)),0)*(1-B72))/(B74+1),"")</f>
        <v/>
      </c>
      <c r="K73" s="50" t="str">
        <f>IF(IF((COLUMN()-2-B73)&gt;0,INDEX(C71:Z71,1, (COLUMN()-2-B73)),0)&gt;=1,(B71* IF((COLUMN()-2-B73)&gt;0,INDEX(C71:Z71,1, (COLUMN()-2-B73)),0)*(1-B72))/(B74+1),"")</f>
        <v/>
      </c>
      <c r="L73" s="50" t="str">
        <f>IF(IF((COLUMN()-2-B73)&gt;0,INDEX(C71:Z71,1, (COLUMN()-2-B73)),0)&gt;=1,(B71* IF((COLUMN()-2-B73)&gt;0,INDEX(C71:Z71,1, (COLUMN()-2-B73)),0)*(1-B72))/(B74+1),"")</f>
        <v/>
      </c>
      <c r="M73" s="50" t="str">
        <f>IF(IF((COLUMN()-2-B73)&gt;0,INDEX(C71:Z71,1, (COLUMN()-2-B73)),0)&gt;=1,(B71* IF((COLUMN()-2-B73)&gt;0,INDEX(C71:Z71,1, (COLUMN()-2-B73)),0)*(1-B72))/(B74+1),"")</f>
        <v/>
      </c>
      <c r="N73" s="50" t="str">
        <f>IF(IF((COLUMN()-2-B73)&gt;0,INDEX(C71:Z71,1, (COLUMN()-2-B73)),0)&gt;=1,(B71* IF((COLUMN()-2-B73)&gt;0,INDEX(C71:Z71,1, (COLUMN()-2-B73)),0)*(1-B72))/(B74+1),"")</f>
        <v/>
      </c>
      <c r="O73" s="56" t="str">
        <f>IF(IF((COLUMN()-2-B73)&gt;0,INDEX(C71:Z71,1, (COLUMN()-2-B73)),0)&gt;=1,(B71* IF((COLUMN()-2-B73)&gt;0,INDEX(C71:Z71,1, (COLUMN()-2-B73)),0)*(1-B72))/(B74+1),"")</f>
        <v/>
      </c>
      <c r="P73" s="56" t="str">
        <f>IF(IF((COLUMN()-2-B73)&gt;0,INDEX(C71:Z71,1, (COLUMN()-2-B73)),0)&gt;=1,(B71* IF((COLUMN()-2-B73)&gt;0,INDEX(C71:Z71,1, (COLUMN()-2-B73)),0)*(1-B72))/(B74+1),"")</f>
        <v/>
      </c>
      <c r="Q73" s="56" t="str">
        <f>IF(IF((COLUMN()-2-B73)&gt;0,INDEX(C71:Z71,1, (COLUMN()-2-B73)),0)&gt;=1,(B71* IF((COLUMN()-2-B73)&gt;0,INDEX(C71:Z71,1, (COLUMN()-2-B73)),0)*(1-B72))/(B74+1),"")</f>
        <v/>
      </c>
      <c r="R73" s="56" t="str">
        <f>IF(IF((COLUMN()-2-B73)&gt;0,INDEX(C71:Z71,1, (COLUMN()-2-B73)),0)&gt;=1,(B71* IF((COLUMN()-2-B73)&gt;0,INDEX(C71:Z71,1, (COLUMN()-2-B73)),0)*(1-B72))/(B74+1),"")</f>
        <v/>
      </c>
      <c r="S73" s="56" t="str">
        <f>IF(IF((COLUMN()-2-B73)&gt;0,INDEX(C71:Z71,1, (COLUMN()-2-B73)),0)&gt;=1,(B71* IF((COLUMN()-2-B73)&gt;0,INDEX(C71:Z71,1, (COLUMN()-2-B73)),0)*(1-B72))/(B74+1),"")</f>
        <v/>
      </c>
      <c r="T73" s="56" t="str">
        <f>IF(IF((COLUMN()-2-B73)&gt;0,INDEX(C71:Z71,1, (COLUMN()-2-B73)),0)&gt;=1,(B71* IF((COLUMN()-2-B73)&gt;0,INDEX(C71:Z71,1, (COLUMN()-2-B73)),0)*(1-B72))/(B74+1),"")</f>
        <v/>
      </c>
      <c r="U73" s="56" t="str">
        <f>IF(IF((COLUMN()-2-B73)&gt;0,INDEX(C71:Z71,1, (COLUMN()-2-B73)),0)&gt;=1,(B71* IF((COLUMN()-2-B73)&gt;0,INDEX(C71:Z71,1, (COLUMN()-2-B73)),0)*(1-B72))/(B74+1),"")</f>
        <v/>
      </c>
      <c r="V73" s="56" t="str">
        <f>IF(IF((COLUMN()-2-B73)&gt;0,INDEX(C71:Z71,1, (COLUMN()-2-B73)),0)&gt;=1,(B71* IF((COLUMN()-2-B73)&gt;0,INDEX(C71:Z71,1, (COLUMN()-2-B73)),0)*(1-B72))/(B74+1),"")</f>
        <v/>
      </c>
      <c r="W73" s="56" t="str">
        <f>IF(IF((COLUMN()-2-B73)&gt;0,INDEX(C71:Z71,1, (COLUMN()-2-B73)),0)&gt;=1,(B71* IF((COLUMN()-2-B73)&gt;0,INDEX(C71:Z71,1, (COLUMN()-2-B73)),0)*(1-B72))/(B74+1),"")</f>
        <v/>
      </c>
      <c r="X73" s="56" t="str">
        <f>IF(IF((COLUMN()-2-B73)&gt;0,INDEX(C71:Z71,1, (COLUMN()-2-B73)),0)&gt;=1,(B71* IF((COLUMN()-2-B73)&gt;0,INDEX(C71:Z71,1, (COLUMN()-2-B73)),0)*(1-B72))/(B74+1),"")</f>
        <v/>
      </c>
      <c r="Y73" s="56" t="str">
        <f>IF(IF((COLUMN()-2-B73)&gt;0,INDEX(C71:Z71,1, (COLUMN()-2-B73)),0)&gt;=1,(B71* IF((COLUMN()-2-B73)&gt;0,INDEX(C71:Z71,1, (COLUMN()-2-B73)),0)*(1-B72))/(B74+1),"")</f>
        <v/>
      </c>
      <c r="Z73" s="91" t="str">
        <f>IF(IF((COLUMN()-2-B73)&gt;0,INDEX(C71:Z71,1, (COLUMN()-2-B73)),0)&gt;=1,(B71* IF((COLUMN()-2-B73)&gt;0,INDEX(C71:Z71,1, (COLUMN()-2-B73)),0)*(1-B72))/(B74+1),"")</f>
        <v/>
      </c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1"/>
    </row>
    <row r="74" spans="1:38">
      <c r="A74" s="90" t="s">
        <v>82</v>
      </c>
      <c r="B74" s="53"/>
      <c r="C74" s="91"/>
      <c r="D74" s="50" t="str">
        <f>IF(SUM(D75),SUM(D75),"")</f>
        <v/>
      </c>
      <c r="E74" s="50" t="str">
        <f>IF(SUM(E75:E76),SUM(E75:E76),"")</f>
        <v/>
      </c>
      <c r="F74" s="50" t="str">
        <f>IF(SUM(F75:F77),SUM(F75:F77),"")</f>
        <v/>
      </c>
      <c r="G74" s="50" t="str">
        <f>IF(SUM(G75:G78),SUM(G75:G78),"")</f>
        <v/>
      </c>
      <c r="H74" s="50" t="str">
        <f>IF(SUM(H75:H79),SUM(H75:H79),"")</f>
        <v/>
      </c>
      <c r="I74" s="50" t="str">
        <f>IF(SUM(I75:I80),SUM(I75:I80),"")</f>
        <v/>
      </c>
      <c r="J74" s="50" t="str">
        <f>IF(SUM(J75:J81),SUM(J75:J81),"")</f>
        <v/>
      </c>
      <c r="K74" s="50" t="str">
        <f>IF(SUM(K75:K82),SUM(K75:K82),"")</f>
        <v/>
      </c>
      <c r="L74" s="50" t="str">
        <f>IF(SUM(L75:L83),SUM(L75:L83),"")</f>
        <v/>
      </c>
      <c r="M74" s="50" t="str">
        <f>IF(SUM(M75:M84),SUM(M75:M84),"")</f>
        <v/>
      </c>
      <c r="N74" s="50" t="str">
        <f>IF(SUM(N75:N85),SUM(N75:N85),"")</f>
        <v/>
      </c>
      <c r="O74" s="56" t="str">
        <f t="shared" ref="O74:Z74" si="23">IF(SUM(O75:O86),SUM(O75:O86),"")</f>
        <v/>
      </c>
      <c r="P74" s="56" t="str">
        <f t="shared" si="23"/>
        <v/>
      </c>
      <c r="Q74" s="56" t="str">
        <f t="shared" si="23"/>
        <v/>
      </c>
      <c r="R74" s="56" t="str">
        <f t="shared" si="23"/>
        <v/>
      </c>
      <c r="S74" s="56" t="str">
        <f t="shared" si="23"/>
        <v/>
      </c>
      <c r="T74" s="56" t="str">
        <f t="shared" si="23"/>
        <v/>
      </c>
      <c r="U74" s="56" t="str">
        <f t="shared" si="23"/>
        <v/>
      </c>
      <c r="V74" s="56" t="str">
        <f t="shared" si="23"/>
        <v/>
      </c>
      <c r="W74" s="56" t="str">
        <f t="shared" si="23"/>
        <v/>
      </c>
      <c r="X74" s="56" t="str">
        <f t="shared" si="23"/>
        <v/>
      </c>
      <c r="Y74" s="56" t="str">
        <f t="shared" si="23"/>
        <v/>
      </c>
      <c r="Z74" s="56" t="str">
        <f t="shared" si="23"/>
        <v/>
      </c>
      <c r="AA74" s="72" t="str">
        <f>IF(SUM(AA77:AA86),SUM(AA77:AA86),"")</f>
        <v/>
      </c>
      <c r="AB74" s="72" t="str">
        <f>IF(SUM(AB78:AB86),SUM(AB78:AB86),"")</f>
        <v/>
      </c>
      <c r="AC74" s="72" t="str">
        <f>IF(SUM(AC79:AC86),SUM(AC79:AC86),"")</f>
        <v/>
      </c>
      <c r="AD74" s="72" t="str">
        <f>IF(SUM(AD80:AD86),SUM(AD80:AD86),"")</f>
        <v/>
      </c>
      <c r="AE74" s="72" t="str">
        <f>IF(SUM(AE81:AE86),SUM(AE81:AE86),"")</f>
        <v/>
      </c>
      <c r="AF74" s="72" t="str">
        <f>IF(SUM(AF82:AF86),SUM(AF82:AF86),"")</f>
        <v/>
      </c>
      <c r="AG74" s="72" t="str">
        <f>IF(SUM(AG83:AG86),SUM(AG83:AG86),"")</f>
        <v/>
      </c>
      <c r="AH74" s="72" t="str">
        <f>IF(SUM(AH84:AH86),SUM(AH84:AH86),"")</f>
        <v/>
      </c>
      <c r="AI74" s="72" t="str">
        <f>IF(SUM(AI85:AI86),SUM(AI85:AI86),"")</f>
        <v/>
      </c>
      <c r="AJ74" s="72" t="str">
        <f>IF(SUM(AJ86),SUM(AJ86),"")</f>
        <v/>
      </c>
      <c r="AK74" s="1"/>
      <c r="AL74" s="1"/>
    </row>
    <row r="75" spans="1:38" hidden="1">
      <c r="A75" s="90" t="s">
        <v>83</v>
      </c>
      <c r="B75" s="51">
        <f>IF('Reverse Engineering Valuation'!F37,'Reverse Engineering Valuation'!H37,'Reverse Engineering Valuation'!E37)</f>
        <v>0</v>
      </c>
      <c r="C75" s="91"/>
      <c r="D75" s="50" t="str">
        <f>IF(OR(NOT(C71),(COLUMN()-3)-(B73+1)&lt;0,(B73+1+B74) - (COLUMN()-2) &lt;0),"",C71*(1-B72)/(B74+1)*B71)</f>
        <v/>
      </c>
      <c r="E75" s="50" t="str">
        <f>IF(OR(NOT(C71),(COLUMN()-3)-(B73+1)&lt;0,(B73+1+B74) - (COLUMN()-2) &lt;0),"",C71*(1-B72)/(B74+1)*B71)</f>
        <v/>
      </c>
      <c r="F75" s="50" t="str">
        <f>IF(OR(NOT(C71),(COLUMN()-3)-(B73+1)&lt;0,(B73+1+B74) - (COLUMN()-2) &lt;0),"",C71*(1-B72)/(B74+1)*B71)</f>
        <v/>
      </c>
      <c r="G75" s="50" t="str">
        <f>IF(OR(NOT(C71),(COLUMN()-3)-(B73+1)&lt;0,(B73+1+B74) - (COLUMN()-2) &lt;0),"",C71*(1-B72)/(B74+1)*B71)</f>
        <v/>
      </c>
      <c r="H75" s="50" t="str">
        <f>IF(OR(NOT(C71),(COLUMN()-3)-(B73+1)&lt;0,(B73+1+B74) - (COLUMN()-2) &lt;0),"",C71*(1-B72)/(B74+1)*B71)</f>
        <v/>
      </c>
      <c r="I75" s="50" t="str">
        <f>IF(OR(NOT(C71),(COLUMN()-3)-(B73+1)&lt;0,(B73+1+B74) - (COLUMN()-2) &lt;0),"",C71*(1-B72)/(B74+1)*B71)</f>
        <v/>
      </c>
      <c r="J75" s="50" t="str">
        <f>IF(OR(NOT(C71),(COLUMN()-3)-(B73+1)&lt;0,(B73+1+B74) - (COLUMN()-2) &lt;0),"",C71*(1-B72)/(B74+1)*B71)</f>
        <v/>
      </c>
      <c r="K75" s="50" t="str">
        <f>IF(OR(NOT(C71),(COLUMN()-3)-(B73+1)&lt;0,(B73+1+B74) - (COLUMN()-2) &lt;0),"",C71*(1-B72)/(B74+1)*B71)</f>
        <v/>
      </c>
      <c r="L75" s="50" t="str">
        <f>IF(OR(NOT(C71),(COLUMN()-3)-(B73+1)&lt;0,(B73+1+B74) - (COLUMN()-2) &lt;0),"",C71*(1-B72)/(B74+1)*B71)</f>
        <v/>
      </c>
      <c r="M75" s="50" t="str">
        <f>IF(OR(NOT(C71),(COLUMN()-3)-(B73+1)&lt;0,(B73+1+B74) - (COLUMN()-2) &lt;0),"",C71*(1-B72)/(B74+1)*B71)</f>
        <v/>
      </c>
      <c r="N75" s="50" t="str">
        <f>IF(OR(NOT(C71),(COLUMN()-3)-(B73+1)&lt;0,(B73+1+B74) - (COLUMN()-2) &lt;0),"",C71*(1-B72)/(B74+1)*B71)</f>
        <v/>
      </c>
      <c r="O75" s="56" t="str">
        <f>IF(OR(NOT(C71),(COLUMN()-3)-(B73+1)&lt;0,(B73+1+B74) - (COLUMN()-2) &lt;0),"",C71*(1-B72)/(B74+1)*B71)</f>
        <v/>
      </c>
      <c r="P75" s="56" t="str">
        <f>IF(OR(NOT(C71),(COLUMN()-3)-(B73+1)&lt;0,(B73+1+B74) - (COLUMN()-2) &lt;0),"",C71*(1-B72)/(B74+1)*B71)</f>
        <v/>
      </c>
      <c r="Q75" s="56" t="str">
        <f>IF(OR(NOT(C71),(COLUMN()-3)-(B73+1)&lt;0,(B73+1+B74) - (COLUMN()-2) &lt;0),"",C71*(1-B72)/(B74+1)*B71)</f>
        <v/>
      </c>
      <c r="R75" s="56" t="str">
        <f>IF(OR(NOT(C71),(COLUMN()-3)-(B73+1)&lt;0,(B73+1+B74) - (COLUMN()-2) &lt;0),"",C71*(1-B72)/(B74+1)*B71)</f>
        <v/>
      </c>
      <c r="S75" s="56" t="str">
        <f>IF(OR(NOT(C71),(COLUMN()-3)-(B73+1)&lt;0,(B73+1+B74) - (COLUMN()-2) &lt;0),"",C71*(1-B72)/(B74+1)*B71)</f>
        <v/>
      </c>
      <c r="T75" s="56" t="str">
        <f>IF(OR(NOT(C71),(COLUMN()-3)-(B73+1)&lt;0,(B73+1+B74) - (COLUMN()-2) &lt;0),"",C71*(1-B72)/(B74+1)*B71)</f>
        <v/>
      </c>
      <c r="U75" s="56" t="str">
        <f>IF(OR(NOT(C71),(COLUMN()-3)-(B73+1)&lt;0,(B73+1+B74) - (COLUMN()-2) &lt;0),"",C71*(1-B72)/(B74+1)*B71)</f>
        <v/>
      </c>
      <c r="V75" s="56" t="str">
        <f>IF(OR(NOT(C71),(COLUMN()-3)-(B73+1)&lt;0,(B73+1+B74) - (COLUMN()-2) &lt;0),"",C71*(1-B72)/(B74+1)*B71)</f>
        <v/>
      </c>
      <c r="W75" s="56" t="str">
        <f>IF(OR(NOT(C71),(COLUMN()-3)-(B73+1)&lt;0,(B73+1+B74) - (COLUMN()-2) &lt;0),"",C71*(1-B72)/(B74+1)*B71)</f>
        <v/>
      </c>
      <c r="X75" s="56" t="str">
        <f>IF(OR(NOT(C71),(COLUMN()-3)-(B73+1)&lt;0,(B73+1+B74) - (COLUMN()-2) &lt;0),"",C71*(1-B72)/(B74+1)*B71)</f>
        <v/>
      </c>
      <c r="Y75" s="56" t="str">
        <f>IF(OR(NOT(C71),(COLUMN()-3)-(B73+1)&lt;0,(B73+1+B74) - (COLUMN()-2) &lt;0),"",C71*(1-B72)/(B74+1)*B71)</f>
        <v/>
      </c>
      <c r="Z75" s="56" t="str">
        <f>IF(OR(NOT(C71),(COLUMN()-3)-(B73+1)&lt;0,(B73+1+B74) - (COLUMN()-2) &lt;0),"",C71*(1-B72)/(B74+1)*B71)</f>
        <v/>
      </c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1"/>
    </row>
    <row r="76" spans="1:38" hidden="1">
      <c r="A76" s="90" t="s">
        <v>84</v>
      </c>
      <c r="B76" s="54">
        <f>B75-SUM(C71:N71)</f>
        <v>0</v>
      </c>
      <c r="C76" s="91"/>
      <c r="D76" s="91"/>
      <c r="E76" s="50" t="str">
        <f>IF(OR(NOT(D71),(COLUMN()-3)-(B73+2)&lt;0,(B73+2 +B74) - (COLUMN()-2) &lt;0),"",D71*(1-B72)/(B74+1)*B71)</f>
        <v/>
      </c>
      <c r="F76" s="50" t="str">
        <f>IF(OR(NOT(D71),(COLUMN()-3)-(B73+2)&lt;0,(B73+2 +B74) - (COLUMN()-2) &lt;0),"",D71*(1-B72)/(B74+1)*B71)</f>
        <v/>
      </c>
      <c r="G76" s="50" t="str">
        <f>IF(OR(NOT(D71),(COLUMN()-3)-(B73+2)&lt;0,(B73+2 +B74) - (COLUMN()-2) &lt;0),"",D71*(1-B72)/(B74+1)*B71)</f>
        <v/>
      </c>
      <c r="H76" s="50" t="str">
        <f>IF(OR(NOT(D71),(COLUMN()-3)-(B73+2)&lt;0,(B73+2 +B74) - (COLUMN()-2) &lt;0),"",D71*(1-B72)/(B74+1)*B71)</f>
        <v/>
      </c>
      <c r="I76" s="50" t="str">
        <f>IF(OR(NOT(D71),(COLUMN()-3)-(B73+2)&lt;0,(B73+2 +B74) - (COLUMN()-2) &lt;0),"",D71*(1-B72)/(B74+1)*B71)</f>
        <v/>
      </c>
      <c r="J76" s="50" t="str">
        <f>IF(OR(NOT(D71),(COLUMN()-3)-(B73+2)&lt;0,(B73+2 +B74) - (COLUMN()-2) &lt;0),"",D71*(1-B72)/(B74+1)*B71)</f>
        <v/>
      </c>
      <c r="K76" s="50" t="str">
        <f>IF(OR(NOT(D71),(COLUMN()-3)-(B73+2)&lt;0,(B73+2 +B74) - (COLUMN()-2) &lt;0),"",D71*(1-B72)/(B74+1)*B71)</f>
        <v/>
      </c>
      <c r="L76" s="50" t="str">
        <f>IF(OR(NOT(D71),(COLUMN()-3)-(B73+2)&lt;0,(B73+2 +B74) - (COLUMN()-2) &lt;0),"",D71*(1-B72)/(B74+1)*B71)</f>
        <v/>
      </c>
      <c r="M76" s="50" t="str">
        <f>IF(OR(NOT(D71),(COLUMN()-3)-(B73+2)&lt;0,(B73+2 +B74) - (COLUMN()-2) &lt;0),"",D71*(1-B72)/(B74+1)*B71)</f>
        <v/>
      </c>
      <c r="N76" s="50" t="str">
        <f>IF(OR(NOT(D71),(COLUMN()-3)-(B73+2)&lt;0,(B73+2 +B74) - (COLUMN()-2) &lt;0),"",D71*(1-B72)/(B74+1)*B71)</f>
        <v/>
      </c>
      <c r="O76" s="56" t="str">
        <f>IF(OR(NOT(D71),(COLUMN()-3)-(B73+2)&lt;0,(B73+2 +B74) - (COLUMN()-2) &lt;0),"",D71*(1-B72)/(B74+1)*B71)</f>
        <v/>
      </c>
      <c r="P76" s="56" t="str">
        <f>IF(OR(NOT(D71),(COLUMN()-3)-(B73+2)&lt;0,(B73+2 +B74) - (COLUMN()-2) &lt;0),"",D71*(1-B72)/(B74+1)*B71)</f>
        <v/>
      </c>
      <c r="Q76" s="56" t="str">
        <f>IF(OR(NOT(D71),(COLUMN()-3)-(B73+2)&lt;0,(B73+2 +B74) - (COLUMN()-2) &lt;0),"",D71*(1-B72)/(B74+1)*B71)</f>
        <v/>
      </c>
      <c r="R76" s="56" t="str">
        <f>IF(OR(NOT(D71),(COLUMN()-3)-(B73+2)&lt;0,(B73+2 +B74) - (COLUMN()-2) &lt;0),"",D71*(1-B72)/(B74+1)*B71)</f>
        <v/>
      </c>
      <c r="S76" s="56" t="str">
        <f>IF(OR(NOT(D71),(COLUMN()-3)-(B73+2)&lt;0,(B73+2 +B74) - (COLUMN()-2) &lt;0),"",D71*(1-B72)/(B74+1)*B71)</f>
        <v/>
      </c>
      <c r="T76" s="56" t="str">
        <f>IF(OR(NOT(D71),(COLUMN()-3)-(B73+2)&lt;0,(B73+2 +B74) - (COLUMN()-2) &lt;0),"",D71*(1-B72)/(B74+1)*B71)</f>
        <v/>
      </c>
      <c r="U76" s="56" t="str">
        <f>IF(OR(NOT(D71),(COLUMN()-3)-(B73+2)&lt;0,(B73+2 +B74) - (COLUMN()-2) &lt;0),"",D71*(1-B72)/(B74+1)*B71)</f>
        <v/>
      </c>
      <c r="V76" s="56" t="str">
        <f>IF(OR(NOT(D71),(COLUMN()-3)-(B73+2)&lt;0,(B73+2 +B74) - (COLUMN()-2) &lt;0),"",D71*(1-B72)/(B74+1)*B71)</f>
        <v/>
      </c>
      <c r="W76" s="56" t="str">
        <f>IF(OR(NOT(D71),(COLUMN()-3)-(B73+2)&lt;0,(B73+2 +B74) - (COLUMN()-2) &lt;0),"",D71*(1-B72)/(B74+1)*B71)</f>
        <v/>
      </c>
      <c r="X76" s="56" t="str">
        <f>IF(OR(NOT(D71),(COLUMN()-3)-(B73+2)&lt;0,(B73+2 +B74) - (COLUMN()-2) &lt;0),"",D71*(1-B72)/(B74+1)*B71)</f>
        <v/>
      </c>
      <c r="Y76" s="56" t="str">
        <f>IF(OR(NOT(D71),(COLUMN()-3)-(B73+2)&lt;0,(B73+2 +B74) - (COLUMN()-2) &lt;0),"",D71*(1-B72)/(B74+1)*B71)</f>
        <v/>
      </c>
      <c r="Z76" s="56" t="str">
        <f>IF(OR(NOT(D71),(COLUMN()-3)-(B73+2)&lt;0,(B73+2 +B74) - (COLUMN()-2) &lt;0),"",D71*(1-B72)/(B74+1)*B71)</f>
        <v/>
      </c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1"/>
    </row>
    <row r="77" spans="1:38" hidden="1">
      <c r="A77" s="91"/>
      <c r="B77" s="91"/>
      <c r="C77" s="91"/>
      <c r="D77" s="91"/>
      <c r="E77" s="91"/>
      <c r="F77" s="50" t="str">
        <f>IF(OR(NOT(E71),(COLUMN()-3)-(B73+3)&lt;0,(B73+3+B74) - (COLUMN()-2) &lt;0),"",E71*(1-B72)/(B74+1)*B71)</f>
        <v/>
      </c>
      <c r="G77" s="50" t="str">
        <f>IF(OR(NOT(E71),(COLUMN()-3)-(B73+3)&lt;0,(B73+3+B74) - (COLUMN()-2) &lt;0),"",E71*(1-B72)/(B74+1)*B71)</f>
        <v/>
      </c>
      <c r="H77" s="50" t="str">
        <f>IF(OR(NOT(E71),(COLUMN()-3)-(B73+3)&lt;0,(B73+3+B74) - (COLUMN()-2) &lt;0),"",E71*(1-B72)/(B74+1)*B71)</f>
        <v/>
      </c>
      <c r="I77" s="50" t="str">
        <f>IF(OR(NOT(E71),(COLUMN()-3)-(B73+3)&lt;0,(B73+3+B74) - (COLUMN()-2) &lt;0),"",E71*(1-B72)/(B74+1)*B71)</f>
        <v/>
      </c>
      <c r="J77" s="50" t="str">
        <f>IF(OR(NOT(E71),(COLUMN()-3)-(B73+3)&lt;0,(B73+3+B74) - (COLUMN()-2) &lt;0),"",E71*(1-B72)/(B74+1)*B71)</f>
        <v/>
      </c>
      <c r="K77" s="50" t="str">
        <f>IF(OR(NOT(E71),(COLUMN()-3)-(B73+3)&lt;0,(B73+3+B74) - (COLUMN()-2) &lt;0),"",E71*(1-B72)/(B74+1)*B71)</f>
        <v/>
      </c>
      <c r="L77" s="50" t="str">
        <f>IF(OR(NOT(E71),(COLUMN()-3)-(B73+3)&lt;0,(B73+3+B74) - (COLUMN()-2) &lt;0),"",E71*(1-B72)/(B74+1)*B71)</f>
        <v/>
      </c>
      <c r="M77" s="50" t="str">
        <f>IF(OR(NOT(E71),(COLUMN()-3)-(B73+3)&lt;0,(B73+3+B74) - (COLUMN()-2) &lt;0),"",E71*(1-B72)/(B74+1)*B71)</f>
        <v/>
      </c>
      <c r="N77" s="50" t="str">
        <f>IF(OR(NOT(E71),(COLUMN()-3)-(B73+3)&lt;0,(B73+3+B74) - (COLUMN()-2) &lt;0),"",E71*(1-B72)/(B74+1)*B71)</f>
        <v/>
      </c>
      <c r="O77" s="56" t="str">
        <f>IF(OR(NOT(E71),(COLUMN()-3)-(B73+3)&lt;0,(B73+3+B74) - (COLUMN()-2) &lt;0),"",E71*(1-B72)/(B74+1)*B71)</f>
        <v/>
      </c>
      <c r="P77" s="56" t="str">
        <f>IF(OR(NOT(E71),(COLUMN()-3)-(B73+3)&lt;0,(B73+3+B74) - (COLUMN()-2) &lt;0),"",E71*(1-B72)/(B74+1)*B71)</f>
        <v/>
      </c>
      <c r="Q77" s="56" t="str">
        <f>IF(OR(NOT(E71),(COLUMN()-3)-(B73+3)&lt;0,(B73+3+B74) - (COLUMN()-2) &lt;0),"",E71*(1-B72)/(B74+1)*B71)</f>
        <v/>
      </c>
      <c r="R77" s="56" t="str">
        <f>IF(OR(NOT(E71),(COLUMN()-3)-(B73+3)&lt;0,(B73+3+B74) - (COLUMN()-2) &lt;0),"",E71*(1-B72)/(B74+1)*B71)</f>
        <v/>
      </c>
      <c r="S77" s="56" t="str">
        <f>IF(OR(NOT(E71),(COLUMN()-3)-(B73+3)&lt;0,(B73+3+B74) - (COLUMN()-2) &lt;0),"",E71*(1-B72)/(B74+1)*B71)</f>
        <v/>
      </c>
      <c r="T77" s="56" t="str">
        <f>IF(OR(NOT(E71),(COLUMN()-3)-(B73+3)&lt;0,(B73+3+B74) - (COLUMN()-2) &lt;0),"",E71*(1-B72)/(B74+1)*B71)</f>
        <v/>
      </c>
      <c r="U77" s="56" t="str">
        <f>IF(OR(NOT(E71),(COLUMN()-3)-(B73+3)&lt;0,(B73+3+B74) - (COLUMN()-2) &lt;0),"",E71*(1-B72)/(B74+1)*B71)</f>
        <v/>
      </c>
      <c r="V77" s="56" t="str">
        <f>IF(OR(NOT(E71),(COLUMN()-3)-(B73+3)&lt;0,(B73+3+B74) - (COLUMN()-2) &lt;0),"",E71*(1-B72)/(B74+1)*B71)</f>
        <v/>
      </c>
      <c r="W77" s="56" t="str">
        <f>IF(OR(NOT(E71),(COLUMN()-3)-(B73+3)&lt;0,(B73+3+B74) - (COLUMN()-2) &lt;0),"",E71*(1-B72)/(B74+1)*B71)</f>
        <v/>
      </c>
      <c r="X77" s="56" t="str">
        <f>IF(OR(NOT(E71),(COLUMN()-3)-(B73+3)&lt;0,(B73+3+B74) - (COLUMN()-2) &lt;0),"",E71*(1-B72)/(B74+1)*B71)</f>
        <v/>
      </c>
      <c r="Y77" s="56" t="str">
        <f>IF(OR(NOT(E71),(COLUMN()-3)-(B73+3)&lt;0,(B73+3+B74) - (COLUMN()-2) &lt;0),"",E71*(1-B72)/(B74+1)*B71)</f>
        <v/>
      </c>
      <c r="Z77" s="56" t="str">
        <f>IF(OR(NOT(E71),(COLUMN()-3)-(B73+3)&lt;0,(B73+3+B74) - (COLUMN()-2) &lt;0),"",E71*(1-B72)/(B74+1)*B71)</f>
        <v/>
      </c>
      <c r="AA77" s="72" t="str">
        <f>IF(OR(NOT(E71),(COLUMN()-3)-(B73+3)&lt;0,(B73+3+B74) - (COLUMN()-2) &lt;0),"",E71*(1-B72)/(B74+1)*B71)</f>
        <v/>
      </c>
      <c r="AB77" s="91"/>
      <c r="AC77" s="91"/>
      <c r="AD77" s="91"/>
      <c r="AE77" s="91"/>
      <c r="AF77" s="91"/>
      <c r="AG77" s="91"/>
      <c r="AH77" s="91"/>
      <c r="AI77" s="91"/>
      <c r="AJ77" s="91"/>
    </row>
    <row r="78" spans="1:38" hidden="1">
      <c r="A78" s="91"/>
      <c r="B78" s="91"/>
      <c r="C78" s="91"/>
      <c r="D78" s="91"/>
      <c r="E78" s="91"/>
      <c r="F78" s="91"/>
      <c r="G78" s="50" t="str">
        <f>IF(OR(NOT(F71),(COLUMN()-3)-(B73+4)&lt;0,(B73+4+B74) - (COLUMN()-2) &lt;0),"",F71*(1-B72)/(B74+1)*B71)</f>
        <v/>
      </c>
      <c r="H78" s="50" t="str">
        <f>IF(OR(NOT(F71),(COLUMN()-3)-(B73+4)&lt;0,(B73+4+B74) - (COLUMN()-2) &lt;0),"",F71*(1-B72)/(B74+1)*B71)</f>
        <v/>
      </c>
      <c r="I78" s="50" t="str">
        <f>IF(OR(NOT(F71),(COLUMN()-3)-(B73+4)&lt;0,(B73+4+B74) - (COLUMN()-2) &lt;0),"",F71*(1-B72)/(B74+1)*B71)</f>
        <v/>
      </c>
      <c r="J78" s="50" t="str">
        <f>IF(OR(NOT(F71),(COLUMN()-3)-(B73+4)&lt;0,(B73+4+B74) - (COLUMN()-2) &lt;0),"",F71*(1-B72)/(B74+1)*B71)</f>
        <v/>
      </c>
      <c r="K78" s="50" t="str">
        <f>IF(OR(NOT(F71),(COLUMN()-3)-(B73+4)&lt;0,(B73+4+B74) - (COLUMN()-2) &lt;0),"",F71*(1-B72)/(B74+1)*B71)</f>
        <v/>
      </c>
      <c r="L78" s="50" t="str">
        <f>IF(OR(NOT(F71),(COLUMN()-3)-(B73+4)&lt;0,(B73+4+B74) - (COLUMN()-2) &lt;0),"",F71*(1-B72)/(B74+1)*B71)</f>
        <v/>
      </c>
      <c r="M78" s="50" t="str">
        <f>IF(OR(NOT(F71),(COLUMN()-3)-(B73+4)&lt;0,(B73+4+B74) - (COLUMN()-2) &lt;0),"",F71*(1-B72)/(B74+1)*B71)</f>
        <v/>
      </c>
      <c r="N78" s="50" t="str">
        <f>IF(OR(NOT(F71),(COLUMN()-3)-(B73+4)&lt;0,(B73+4+B74) - (COLUMN()-2) &lt;0),"",F71*(1-B72)/(B74+1)*B71)</f>
        <v/>
      </c>
      <c r="O78" s="56" t="str">
        <f>IF(OR(NOT(F71),(COLUMN()-3)-(B73+4)&lt;0,(B73+4+B74) - (COLUMN()-2) &lt;0),"",F71*(1-B72)/(B74+1)*B71)</f>
        <v/>
      </c>
      <c r="P78" s="56" t="str">
        <f>IF(OR(NOT(F71),(COLUMN()-3)-(B73+4)&lt;0,(B73+4+B74) - (COLUMN()-2) &lt;0),"",F71*(1-B72)/(B74+1)*B71)</f>
        <v/>
      </c>
      <c r="Q78" s="56" t="str">
        <f>IF(OR(NOT(F71),(COLUMN()-3)-(B73+4)&lt;0,(B73+4+B74) - (COLUMN()-2) &lt;0),"",F71*(1-B72)/(B74+1)*B71)</f>
        <v/>
      </c>
      <c r="R78" s="56" t="str">
        <f>IF(OR(NOT(F71),(COLUMN()-3)-(B73+4)&lt;0,(B73+4+B74) - (COLUMN()-2) &lt;0),"",F71*(1-B72)/(B74+1)*B71)</f>
        <v/>
      </c>
      <c r="S78" s="56" t="str">
        <f>IF(OR(NOT(F71),(COLUMN()-3)-(B73+4)&lt;0,(B73+4+B74) - (COLUMN()-2) &lt;0),"",F71*(1-B72)/(B74+1)*B71)</f>
        <v/>
      </c>
      <c r="T78" s="56" t="str">
        <f>IF(OR(NOT(F71),(COLUMN()-3)-(B73+4)&lt;0,(B73+4+B74) - (COLUMN()-2) &lt;0),"",F71*(1-B72)/(B74+1)*B71)</f>
        <v/>
      </c>
      <c r="U78" s="56" t="str">
        <f>IF(OR(NOT(F71),(COLUMN()-3)-(B73+4)&lt;0,(B73+4+B74) - (COLUMN()-2) &lt;0),"",F71*(1-B72)/(B74+1)*B71)</f>
        <v/>
      </c>
      <c r="V78" s="56" t="str">
        <f>IF(OR(NOT(F71),(COLUMN()-3)-(B73+4)&lt;0,(B73+4+B74) - (COLUMN()-2) &lt;0),"",F71*(1-B72)/(B74+1)*B71)</f>
        <v/>
      </c>
      <c r="W78" s="56" t="str">
        <f>IF(OR(NOT(F71),(COLUMN()-3)-(B73+4)&lt;0,(B73+4+B74) - (COLUMN()-2) &lt;0),"",F71*(1-B72)/(B74+1)*B71)</f>
        <v/>
      </c>
      <c r="X78" s="56" t="str">
        <f>IF(OR(NOT(F71),(COLUMN()-3)-(B73+4)&lt;0,(B73+4+B74) - (COLUMN()-2) &lt;0),"",F71*(1-B72)/(B74+1)*B71)</f>
        <v/>
      </c>
      <c r="Y78" s="56" t="str">
        <f>IF(OR(NOT(F71),(COLUMN()-3)-(B73+4)&lt;0,(B73+4+B74) - (COLUMN()-2) &lt;0),"",F71*(1-B72)/(B74+1)*B71)</f>
        <v/>
      </c>
      <c r="Z78" s="56" t="str">
        <f>IF(OR(NOT(F71),(COLUMN()-3)-(B73+4)&lt;0,(B73+4+B74) - (COLUMN()-2) &lt;0),"",F71*(1-B72)/(B74+1)*B71)</f>
        <v/>
      </c>
      <c r="AA78" s="72" t="str">
        <f>IF(OR(NOT(F71),(COLUMN()-3)-(B73+4)&lt;0,(B73+4+B74) - (COLUMN()-2) &lt;0),"",F71*(1-B72)/(B74+1)*B71)</f>
        <v/>
      </c>
      <c r="AB78" s="72" t="str">
        <f>IF(OR(NOT(F71),(COLUMN()-3)-(B73+4)&lt;0,(B73+4+B74) - (COLUMN()-2) &lt;0),"",F71*(1-B72)/(B74+1)*B71)</f>
        <v/>
      </c>
      <c r="AC78" s="91"/>
      <c r="AD78" s="91"/>
      <c r="AE78" s="91"/>
      <c r="AF78" s="91"/>
      <c r="AG78" s="91"/>
      <c r="AH78" s="91"/>
      <c r="AI78" s="91"/>
      <c r="AJ78" s="91"/>
    </row>
    <row r="79" spans="1:38" hidden="1">
      <c r="A79" s="91"/>
      <c r="B79" s="91"/>
      <c r="C79" s="91"/>
      <c r="D79" s="91"/>
      <c r="E79" s="91"/>
      <c r="F79" s="91"/>
      <c r="G79" s="91"/>
      <c r="H79" s="50" t="str">
        <f>IF(OR(NOT(G71),(COLUMN()-3)-(B73+5)&lt;0,(B73+5+B74) - (COLUMN()-2) &lt;0),"",G71*(1-B72)/(B74+1)*B71)</f>
        <v/>
      </c>
      <c r="I79" s="50" t="str">
        <f>IF(OR(NOT(G71),(COLUMN()-3)-(B73+5)&lt;0,(B73+5+B74) - (COLUMN()-2) &lt;0),"",G71*(1-B72)/(B74+1)*B71)</f>
        <v/>
      </c>
      <c r="J79" s="50" t="str">
        <f>IF(OR(NOT(G71),(COLUMN()-3)-(B73+5)&lt;0,(B73+5+B74) - (COLUMN()-2) &lt;0),"",G71*(1-B72)/(B74+1)*B71)</f>
        <v/>
      </c>
      <c r="K79" s="50" t="str">
        <f>IF(OR(NOT(G71),(COLUMN()-3)-(B73+5)&lt;0,(B73+5+B74) - (COLUMN()-2) &lt;0),"",G71*(1-B72)/(B74+1)*B71)</f>
        <v/>
      </c>
      <c r="L79" s="50" t="str">
        <f>IF(OR(NOT(G71),(COLUMN()-3)-(B73+5)&lt;0,(B73+5+B74) - (COLUMN()-2) &lt;0),"",G71*(1-B72)/(B74+1)*B71)</f>
        <v/>
      </c>
      <c r="M79" s="50" t="str">
        <f>IF(OR(NOT(G71),(COLUMN()-3)-(B73+5)&lt;0,(B73+5+B74) - (COLUMN()-2) &lt;0),"",G71*(1-B72)/(B74+1)*B71)</f>
        <v/>
      </c>
      <c r="N79" s="50" t="str">
        <f>IF(OR(NOT(G71),(COLUMN()-3)-(B73+5)&lt;0,(B73+5+B74) - (COLUMN()-2) &lt;0),"",G71*(1-B72)/(B74+1)*B71)</f>
        <v/>
      </c>
      <c r="O79" s="56" t="str">
        <f>IF(OR(NOT(G71),(COLUMN()-3)-(B73+5)&lt;0,(B73+5+B74) - (COLUMN()-2) &lt;0),"",G71*(1-B72)/(B74+1)*B71)</f>
        <v/>
      </c>
      <c r="P79" s="56" t="str">
        <f>IF(OR(NOT(G71),(COLUMN()-3)-(B73+5)&lt;0,(B73+5+B74) - (COLUMN()-2) &lt;0),"",G71*(1-B72)/(B74+1)*B71)</f>
        <v/>
      </c>
      <c r="Q79" s="56" t="str">
        <f>IF(OR(NOT(G71),(COLUMN()-3)-(B73+5)&lt;0,(B73+5+B74) - (COLUMN()-2) &lt;0),"",G71*(1-B72)/(B74+1)*B71)</f>
        <v/>
      </c>
      <c r="R79" s="56" t="str">
        <f>IF(OR(NOT(G71),(COLUMN()-3)-(B73+5)&lt;0,(B73+5+B74) - (COLUMN()-2) &lt;0),"",G71*(1-B72)/(B74+1)*B71)</f>
        <v/>
      </c>
      <c r="S79" s="56" t="str">
        <f>IF(OR(NOT(G71),(COLUMN()-3)-(B73+5)&lt;0,(B73+5+B74) - (COLUMN()-2) &lt;0),"",G71*(1-B72)/(B74+1)*B71)</f>
        <v/>
      </c>
      <c r="T79" s="56" t="str">
        <f>IF(OR(NOT(G71),(COLUMN()-3)-(B73+5)&lt;0,(B73+5+B74) - (COLUMN()-2) &lt;0),"",G71*(1-B72)/(B74+1)*B71)</f>
        <v/>
      </c>
      <c r="U79" s="56" t="str">
        <f>IF(OR(NOT(G71),(COLUMN()-3)-(B73+5)&lt;0,(B73+5+B74) - (COLUMN()-2) &lt;0),"",G71*(1-B72)/(B74+1)*B71)</f>
        <v/>
      </c>
      <c r="V79" s="56" t="str">
        <f>IF(OR(NOT(G71),(COLUMN()-3)-(B73+5)&lt;0,(B73+5+B74) - (COLUMN()-2) &lt;0),"",G71*(1-B72)/(B74+1)*B71)</f>
        <v/>
      </c>
      <c r="W79" s="56" t="str">
        <f>IF(OR(NOT(G71),(COLUMN()-3)-(B73+5)&lt;0,(B73+5+B74) - (COLUMN()-2) &lt;0),"",G71*(1-B72)/(B74+1)*B71)</f>
        <v/>
      </c>
      <c r="X79" s="56" t="str">
        <f>IF(OR(NOT(G71),(COLUMN()-3)-(B73+5)&lt;0,(B73+5+B74) - (COLUMN()-2) &lt;0),"",G71*(1-B72)/(B74+1)*B71)</f>
        <v/>
      </c>
      <c r="Y79" s="56" t="str">
        <f>IF(OR(NOT(G71),(COLUMN()-3)-(B73+5)&lt;0,(B73+5+B74) - (COLUMN()-2) &lt;0),"",G71*(1-B72)/(B74+1)*B71)</f>
        <v/>
      </c>
      <c r="Z79" s="56" t="str">
        <f>IF(OR(NOT(G71),(COLUMN()-3)-(B73+5)&lt;0,(B73+5+B74) - (COLUMN()-2) &lt;0),"",G71*(1-B72)/(B74+1)*B71)</f>
        <v/>
      </c>
      <c r="AA79" s="72" t="str">
        <f>IF(OR(NOT(G71),(COLUMN()-3)-(B73+5)&lt;0,(B73+5+B74) - (COLUMN()-2) &lt;0),"",G71*(1-B72)/(B74+1)*B71)</f>
        <v/>
      </c>
      <c r="AB79" s="72" t="str">
        <f>IF(OR(NOT(G71),(COLUMN()-3)-(B73+5)&lt;0,(B73+5+B74) - (COLUMN()-2) &lt;0),"",G71*(1-B72)/(B74+1)*B71)</f>
        <v/>
      </c>
      <c r="AC79" s="72" t="str">
        <f>IF(OR(NOT(G71),(COLUMN()-3)-(B73+5)&lt;0,(B73+5+B74) - (COLUMN()-2) &lt;0),"",G71*(1-B72)/(B74+1)*B71)</f>
        <v/>
      </c>
      <c r="AD79" s="91"/>
      <c r="AE79" s="91"/>
      <c r="AF79" s="91"/>
      <c r="AG79" s="91"/>
      <c r="AH79" s="91"/>
      <c r="AI79" s="91"/>
      <c r="AJ79" s="91"/>
    </row>
    <row r="80" spans="1:38" hidden="1">
      <c r="A80" s="91"/>
      <c r="B80" s="91"/>
      <c r="C80" s="91"/>
      <c r="D80" s="91"/>
      <c r="E80" s="91"/>
      <c r="F80" s="91"/>
      <c r="G80" s="91"/>
      <c r="H80" s="91"/>
      <c r="I80" s="50" t="str">
        <f>IF(OR(NOT(H71),(COLUMN()-3)-(B73+6)&lt;0,(B73+6+B74) - (COLUMN()-2) &lt;0),"",H71*(1-B72)/(B74+1)*B71)</f>
        <v/>
      </c>
      <c r="J80" s="50" t="str">
        <f>IF(OR(NOT(H71),(COLUMN()-3)-(B73+6)&lt;0,(B73+6+B74) - (COLUMN()-2) &lt;0),"",H71*(1-B72)/(B74+1)*B71)</f>
        <v/>
      </c>
      <c r="K80" s="50" t="str">
        <f>IF(OR(NOT(H71),(COLUMN()-3)-(B73+6)&lt;0,(B73+6+B74) - (COLUMN()-2) &lt;0),"",H71*(1-B72)/(B74+1)*B71)</f>
        <v/>
      </c>
      <c r="L80" s="50" t="str">
        <f>IF(OR(NOT(H71),(COLUMN()-3)-(B73+6)&lt;0,(B73+6+B74) - (COLUMN()-2) &lt;0),"",H71*(1-B72)/(B74+1)*B71)</f>
        <v/>
      </c>
      <c r="M80" s="50" t="str">
        <f>IF(OR(NOT(H71),(COLUMN()-3)-(B73+6)&lt;0,(B73+6+B74) - (COLUMN()-2) &lt;0),"",H71*(1-B72)/(B74+1)*B71)</f>
        <v/>
      </c>
      <c r="N80" s="50" t="str">
        <f>IF(OR(NOT(H71),(COLUMN()-3)-(B73+6)&lt;0,(B73+6+B74) - (COLUMN()-2) &lt;0),"",H71*(1-B72)/(B74+1)*B71)</f>
        <v/>
      </c>
      <c r="O80" s="56" t="str">
        <f>IF(OR(NOT(H71),(COLUMN()-3)-(B73+6)&lt;0,(B73+6+B74) - (COLUMN()-2) &lt;0),"",H71*(1-B72)/(B74+1)*B71)</f>
        <v/>
      </c>
      <c r="P80" s="56" t="str">
        <f>IF(OR(NOT(H71),(COLUMN()-3)-(B73+6)&lt;0,(B73+6+B74) - (COLUMN()-2) &lt;0),"",H71*(1-B72)/(B74+1)*B71)</f>
        <v/>
      </c>
      <c r="Q80" s="56" t="str">
        <f>IF(OR(NOT(H71),(COLUMN()-3)-(B73+6)&lt;0,(B73+6+B74) - (COLUMN()-2) &lt;0),"",H71*(1-B72)/(B74+1)*B71)</f>
        <v/>
      </c>
      <c r="R80" s="56" t="str">
        <f>IF(OR(NOT(H71),(COLUMN()-3)-(B73+6)&lt;0,(B73+6+B74) - (COLUMN()-2) &lt;0),"",H71*(1-B72)/(B74+1)*B71)</f>
        <v/>
      </c>
      <c r="S80" s="56" t="str">
        <f>IF(OR(NOT(H71),(COLUMN()-3)-(B73+6)&lt;0,(B73+6+B74) - (COLUMN()-2) &lt;0),"",H71*(1-B72)/(B74+1)*B71)</f>
        <v/>
      </c>
      <c r="T80" s="56" t="str">
        <f>IF(OR(NOT(H71),(COLUMN()-3)-(B73+6)&lt;0,(B73+6+B74) - (COLUMN()-2) &lt;0),"",H71*(1-B72)/(B74+1)*B71)</f>
        <v/>
      </c>
      <c r="U80" s="56" t="str">
        <f>IF(OR(NOT(H71),(COLUMN()-3)-(B73+6)&lt;0,(B73+6+B74) - (COLUMN()-2) &lt;0),"",H71*(1-B72)/(B74+1)*B71)</f>
        <v/>
      </c>
      <c r="V80" s="56" t="str">
        <f>IF(OR(NOT(H71),(COLUMN()-3)-(B73+6)&lt;0,(B73+6+B74) - (COLUMN()-2) &lt;0),"",H71*(1-B72)/(B74+1)*B71)</f>
        <v/>
      </c>
      <c r="W80" s="56" t="str">
        <f>IF(OR(NOT(H71),(COLUMN()-3)-(B73+6)&lt;0,(B73+6+B74) - (COLUMN()-2) &lt;0),"",H71*(1-B72)/(B74+1)*B71)</f>
        <v/>
      </c>
      <c r="X80" s="56" t="str">
        <f>IF(OR(NOT(H71),(COLUMN()-3)-(B73+6)&lt;0,(B73+6+B74) - (COLUMN()-2) &lt;0),"",H71*(1-B72)/(B74+1)*B71)</f>
        <v/>
      </c>
      <c r="Y80" s="56" t="str">
        <f>IF(OR(NOT(H71),(COLUMN()-3)-(B73+6)&lt;0,(B73+6+B74) - (COLUMN()-2) &lt;0),"",H71*(1-B72)/(B74+1)*B71)</f>
        <v/>
      </c>
      <c r="Z80" s="56" t="str">
        <f>IF(OR(NOT(H71),(COLUMN()-3)-(B73+6)&lt;0,(B73+6+B74) - (COLUMN()-2) &lt;0),"",H71*(1-B72)/(B74+1)*B71)</f>
        <v/>
      </c>
      <c r="AA80" s="72" t="str">
        <f>IF(OR(NOT(H71),(COLUMN()-3)-(B73+6)&lt;0,(B73+6+B74) - (COLUMN()-2) &lt;0),"",H71*(1-B72)/(B74+1)*B71)</f>
        <v/>
      </c>
      <c r="AB80" s="72" t="str">
        <f>IF(OR(NOT(H71),(COLUMN()-3)-(B73+6)&lt;0,(B73+6+B74) - (COLUMN()-2) &lt;0),"",H71*(1-B72)/(B74+1)*B71)</f>
        <v/>
      </c>
      <c r="AC80" s="72" t="str">
        <f>IF(OR(NOT(H71),(COLUMN()-3)-(B73+6)&lt;0,(B73+6+B74) - (COLUMN()-2) &lt;0),"",H71*(1-B72)/(B74+1)*B71)</f>
        <v/>
      </c>
      <c r="AD80" s="72" t="str">
        <f>IF(OR(NOT(H71),(COLUMN()-3)-(B73+6)&lt;0,(B73+6+B74) - (COLUMN()-2) &lt;0),"",H71*(1-B72)/(B74+1)*B71)</f>
        <v/>
      </c>
      <c r="AE80" s="91"/>
      <c r="AF80" s="91"/>
      <c r="AG80" s="91"/>
      <c r="AH80" s="91"/>
      <c r="AI80" s="91"/>
      <c r="AJ80" s="91"/>
    </row>
    <row r="81" spans="1:38" hidden="1">
      <c r="A81" s="91"/>
      <c r="B81" s="91"/>
      <c r="C81" s="91"/>
      <c r="D81" s="91"/>
      <c r="E81" s="91"/>
      <c r="F81" s="91"/>
      <c r="G81" s="91"/>
      <c r="H81" s="91"/>
      <c r="I81" s="91"/>
      <c r="J81" s="50" t="str">
        <f>IF(OR(NOT(I71),(COLUMN()-3)-(B73+7)&lt;0,(B73+7+B74) - (COLUMN()-2) &lt;0),"",I71*(1-B72)/(B74+1)*B71)</f>
        <v/>
      </c>
      <c r="K81" s="50" t="str">
        <f>IF(OR(NOT(I71),(COLUMN()-3)-(B73+7)&lt;0,(B73+7+B74) - (COLUMN()-2) &lt;0),"",I71*(1-B72)/(B74+1)*B71)</f>
        <v/>
      </c>
      <c r="L81" s="50" t="str">
        <f>IF(OR(NOT(I71),(COLUMN()-3)-(B73+7)&lt;0,(B73+7+B74) - (COLUMN()-2) &lt;0),"",I71*(1-B72)/(B74+1)*B71)</f>
        <v/>
      </c>
      <c r="M81" s="50" t="str">
        <f>IF(OR(NOT(I71),(COLUMN()-3)-(B73+7)&lt;0,(B73+7+B74) - (COLUMN()-2) &lt;0),"",I71*(1-B72)/(B74+1)*B71)</f>
        <v/>
      </c>
      <c r="N81" s="50" t="str">
        <f>IF(OR(NOT(I71),(COLUMN()-3)-(B73+7)&lt;0,(B73+7+B74) - (COLUMN()-2) &lt;0),"",I71*(1-B72)/(B74+1)*B71)</f>
        <v/>
      </c>
      <c r="O81" s="56" t="str">
        <f>IF(OR(NOT(I71),(COLUMN()-3)-(B73+7)&lt;0,(B73+7+B74) - (COLUMN()-2) &lt;0),"",I71*(1-B72)/(B74+1)*B71)</f>
        <v/>
      </c>
      <c r="P81" s="56" t="str">
        <f>IF(OR(NOT(I71),(COLUMN()-3)-(B73+7)&lt;0,(B73+7+B74) - (COLUMN()-2) &lt;0),"",I71*(1-B72)/(B74+1)*B71)</f>
        <v/>
      </c>
      <c r="Q81" s="56" t="str">
        <f>IF(OR(NOT(I71),(COLUMN()-3)-(B73+7)&lt;0,(B73+7+B74) - (COLUMN()-2) &lt;0),"",I71*(1-B72)/(B74+1)*B71)</f>
        <v/>
      </c>
      <c r="R81" s="56" t="str">
        <f>IF(OR(NOT(I71),(COLUMN()-3)-(B73+7)&lt;0,(B73+7+B74) - (COLUMN()-2) &lt;0),"",I71*(1-B72)/(B74+1)*B71)</f>
        <v/>
      </c>
      <c r="S81" s="56" t="str">
        <f>IF(OR(NOT(I71),(COLUMN()-3)-(B73+7)&lt;0,(B73+7+B74) - (COLUMN()-2) &lt;0),"",I71*(1-B72)/(B74+1)*B71)</f>
        <v/>
      </c>
      <c r="T81" s="56" t="str">
        <f>IF(OR(NOT(I71),(COLUMN()-3)-(B73+7)&lt;0,(B73+7+B74) - (COLUMN()-2) &lt;0),"",I71*(1-B72)/(B74+1)*B71)</f>
        <v/>
      </c>
      <c r="U81" s="56" t="str">
        <f>IF(OR(NOT(I71),(COLUMN()-3)-(B73+7)&lt;0,(B73+7+B74) - (COLUMN()-2) &lt;0),"",I71*(1-B72)/(B74+1)*B71)</f>
        <v/>
      </c>
      <c r="V81" s="56" t="str">
        <f>IF(OR(NOT(I71),(COLUMN()-3)-(B73+7)&lt;0,(B73+7+B74) - (COLUMN()-2) &lt;0),"",I71*(1-B72)/(B74+1)*B71)</f>
        <v/>
      </c>
      <c r="W81" s="56" t="str">
        <f>IF(OR(NOT(I71),(COLUMN()-3)-(B73+7)&lt;0,(B73+7+B74) - (COLUMN()-2) &lt;0),"",I71*(1-B72)/(B74+1)*B71)</f>
        <v/>
      </c>
      <c r="X81" s="56" t="str">
        <f>IF(OR(NOT(I71),(COLUMN()-3)-(B73+7)&lt;0,(B73+7+B74) - (COLUMN()-2) &lt;0),"",I71*(1-B72)/(B74+1)*B71)</f>
        <v/>
      </c>
      <c r="Y81" s="56" t="str">
        <f>IF(OR(NOT(I71),(COLUMN()-3)-(B73+7)&lt;0,(B73+7+B74) - (COLUMN()-2) &lt;0),"",I71*(1-B72)/(B74+1)*B71)</f>
        <v/>
      </c>
      <c r="Z81" s="56" t="str">
        <f>IF(OR(NOT(I71),(COLUMN()-3)-(B73+7)&lt;0,(B73+7+B74) - (COLUMN()-2) &lt;0),"",I71*(1-B72)/(B74+1)*B71)</f>
        <v/>
      </c>
      <c r="AA81" s="72" t="str">
        <f>IF(OR(NOT(I71),(COLUMN()-3)-(B73+7)&lt;0,(B73+7+B74) - (COLUMN()-2) &lt;0),"",I71*(1-B72)/(B74+1)*B71)</f>
        <v/>
      </c>
      <c r="AB81" s="72" t="str">
        <f>IF(OR(NOT(I71),(COLUMN()-3)-(B73+7)&lt;0,(B73+7+B74) - (COLUMN()-2) &lt;0),"",I71*(1-B72)/(B74+1)*B71)</f>
        <v/>
      </c>
      <c r="AC81" s="72" t="str">
        <f>IF(OR(NOT(I71),(COLUMN()-3)-(B73+7)&lt;0,(B73+7+B74) - (COLUMN()-2) &lt;0),"",I71*(1-B72)/(B74+1)*B71)</f>
        <v/>
      </c>
      <c r="AD81" s="72" t="str">
        <f>IF(OR(NOT(I71),(COLUMN()-3)-(B73+7)&lt;0,(B73+7+B74) - (COLUMN()-2) &lt;0),"",I71*(1-B72)/(B74+1)*B71)</f>
        <v/>
      </c>
      <c r="AE81" s="72" t="str">
        <f>IF(OR(NOT(I71),(COLUMN()-3)-(B73+7)&lt;0,(B73+7+B74) - (COLUMN()-2) &lt;0),"",I71*(1-B72)/(B74+1)*B71)</f>
        <v/>
      </c>
      <c r="AF81" s="91"/>
      <c r="AG81" s="91"/>
      <c r="AH81" s="91"/>
      <c r="AI81" s="91"/>
      <c r="AJ81" s="91"/>
    </row>
    <row r="82" spans="1:38" hidden="1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50" t="str">
        <f>IF(OR(NOT(J71),(COLUMN()-3)-(B73+8)&lt;0,(B73+8+B74) - (COLUMN()-2) &lt;0),"",J71*(1-B72)/(B74+1)*B71)</f>
        <v/>
      </c>
      <c r="L82" s="50" t="str">
        <f>IF(OR(NOT(J71),(COLUMN()-3)-(B73+8)&lt;0,(B73+8+B74) - (COLUMN()-2) &lt;0),"",J71*(1-B72)/(B74+1)*B71)</f>
        <v/>
      </c>
      <c r="M82" s="50" t="str">
        <f>IF(OR(NOT(J71),(COLUMN()-3)-(B73+8)&lt;0,(B73+8+B74) - (COLUMN()-2) &lt;0),"",J71*(1-B72)/(B74+1)*B71)</f>
        <v/>
      </c>
      <c r="N82" s="50" t="str">
        <f>IF(OR(NOT(J71),(COLUMN()-3)-(B73+8)&lt;0,(B73+8+B74) - (COLUMN()-2) &lt;0),"",J71*(1-B72)/(B74+1)*B71)</f>
        <v/>
      </c>
      <c r="O82" s="56" t="str">
        <f>IF(OR(NOT(J71),(COLUMN()-3)-(B73+8)&lt;0,(B73+8+B74) - (COLUMN()-2) &lt;0),"",J71*(1-B72)/(B74+1)*B71)</f>
        <v/>
      </c>
      <c r="P82" s="56" t="str">
        <f>IF(OR(NOT(J71),(COLUMN()-3)-(B73+8)&lt;0,(B73+8+B74) - (COLUMN()-2) &lt;0),"",J71*(1-B72)/(B74+1)*B71)</f>
        <v/>
      </c>
      <c r="Q82" s="56" t="str">
        <f>IF(OR(NOT(J71),(COLUMN()-3)-(B73+8)&lt;0,(B73+8+B74) - (COLUMN()-2) &lt;0),"",J71*(1-B72)/(B74+1)*B71)</f>
        <v/>
      </c>
      <c r="R82" s="56" t="str">
        <f>IF(OR(NOT(J71),(COLUMN()-3)-(B73+8)&lt;0,(B73+8+B74) - (COLUMN()-2) &lt;0),"",J71*(1-B72)/(B74+1)*B71)</f>
        <v/>
      </c>
      <c r="S82" s="56" t="str">
        <f>IF(OR(NOT(J71),(COLUMN()-3)-(B73+8)&lt;0,(B73+8+B74) - (COLUMN()-2) &lt;0),"",J71*(1-B72)/(B74+1)*B71)</f>
        <v/>
      </c>
      <c r="T82" s="56" t="str">
        <f>IF(OR(NOT(J71),(COLUMN()-3)-(B73+8)&lt;0,(B73+8+B74) - (COLUMN()-2) &lt;0),"",J71*(1-B72)/(B74+1)*B71)</f>
        <v/>
      </c>
      <c r="U82" s="56" t="str">
        <f>IF(OR(NOT(J71),(COLUMN()-3)-(B73+8)&lt;0,(B73+8+B74) - (COLUMN()-2) &lt;0),"",J71*(1-B72)/(B74+1)*B71)</f>
        <v/>
      </c>
      <c r="V82" s="56" t="str">
        <f>IF(OR(NOT(J71),(COLUMN()-3)-(B73+8)&lt;0,(B73+8+B74) - (COLUMN()-2) &lt;0),"",J71*(1-B72)/(B74+1)*B71)</f>
        <v/>
      </c>
      <c r="W82" s="56" t="str">
        <f>IF(OR(NOT(J71),(COLUMN()-3)-(B73+8)&lt;0,(B73+8+B74) - (COLUMN()-2) &lt;0),"",J71*(1-B72)/(B74+1)*B71)</f>
        <v/>
      </c>
      <c r="X82" s="56" t="str">
        <f>IF(OR(NOT(J71),(COLUMN()-3)-(B73+8)&lt;0,(B73+8+B74) - (COLUMN()-2) &lt;0),"",J71*(1-B72)/(B74+1)*B71)</f>
        <v/>
      </c>
      <c r="Y82" s="56" t="str">
        <f>IF(OR(NOT(J71),(COLUMN()-3)-(B73+8)&lt;0,(B73+8+B74) - (COLUMN()-2) &lt;0),"",J71*(1-B72)/(B74+1)*B71)</f>
        <v/>
      </c>
      <c r="Z82" s="56" t="str">
        <f>IF(OR(NOT(J71),(COLUMN()-3)-(B73+8)&lt;0,(B73+8+B74) - (COLUMN()-2) &lt;0),"",J71*(1-B72)/(B74+1)*B71)</f>
        <v/>
      </c>
      <c r="AA82" s="72" t="str">
        <f>IF(OR(NOT(J71),(COLUMN()-3)-(B73+8)&lt;0,(B73+8+B74) - (COLUMN()-2) &lt;0),"",J71*(1-B72)/(B74+1)*B71)</f>
        <v/>
      </c>
      <c r="AB82" s="72" t="str">
        <f>IF(OR(NOT(J71),(COLUMN()-3)-(B73+8)&lt;0,(B73+8+B74) - (COLUMN()-2) &lt;0),"",J71*(1-B72)/(B74+1)*B71)</f>
        <v/>
      </c>
      <c r="AC82" s="72" t="str">
        <f>IF(OR(NOT(J71),(COLUMN()-3)-(B73+8)&lt;0,(B73+8+B74) - (COLUMN()-2) &lt;0),"",J71*(1-B72)/(B74+1)*B71)</f>
        <v/>
      </c>
      <c r="AD82" s="72" t="str">
        <f>IF(OR(NOT(J71),(COLUMN()-3)-(B73+8)&lt;0,(B73+8+B74) - (COLUMN()-2) &lt;0),"",J71*(1-B72)/(B74+1)*B71)</f>
        <v/>
      </c>
      <c r="AE82" s="72" t="str">
        <f>IF(OR(NOT(J71),(COLUMN()-3)-(B73+8)&lt;0,(B73+8+B74) - (COLUMN()-2) &lt;0),"",J71*(1-B72)/(B74+1)*B71)</f>
        <v/>
      </c>
      <c r="AF82" s="72" t="str">
        <f>IF(OR(NOT(J71),(COLUMN()-3)-(B73+8)&lt;0,(B73+8+B74) - (COLUMN()-2) &lt;0),"",J71*(1-B72)/(B74+1)*B71)</f>
        <v/>
      </c>
      <c r="AG82" s="91"/>
      <c r="AH82" s="91"/>
      <c r="AI82" s="91"/>
      <c r="AJ82" s="91"/>
    </row>
    <row r="83" spans="1:38" hidden="1">
      <c r="A83" s="91"/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50" t="str">
        <f>IF(OR(NOT(K71),(COLUMN()-3)-(B73+9)&lt;0,(B73+9+B74) - (COLUMN()-2) &lt;0),"",K71*(1-B72)/(B74+1)*B71)</f>
        <v/>
      </c>
      <c r="M83" s="50" t="str">
        <f>IF(OR(NOT(K71),(COLUMN()-3)-(B73+9)&lt;0,(B73+9+B74) - (COLUMN()-2) &lt;0),"",K71*(1-B72)/(B74+1)*B71)</f>
        <v/>
      </c>
      <c r="N83" s="50" t="str">
        <f>IF(OR(NOT(K71),(COLUMN()-3)-(B73+9)&lt;0,(B73+9+B74) - (COLUMN()-2) &lt;0),"",K71*(1-B72)/(B74+1)*B71)</f>
        <v/>
      </c>
      <c r="O83" s="56" t="str">
        <f>IF(OR(NOT(K71),(COLUMN()-3)-(B73+9)&lt;0,(B73+9+B74) - (COLUMN()-2) &lt;0),"",K71*(1-B72)/(B74+1)*B71)</f>
        <v/>
      </c>
      <c r="P83" s="56" t="str">
        <f>IF(OR(NOT(K71),(COLUMN()-3)-(B73+9)&lt;0,(B73+9+B74) - (COLUMN()-2) &lt;0),"",K71*(1-B72)/(B74+1)*B71)</f>
        <v/>
      </c>
      <c r="Q83" s="56" t="str">
        <f>IF(OR(NOT(K71),(COLUMN()-3)-(B73+9)&lt;0,(B73+9+B74) - (COLUMN()-2) &lt;0),"",K71*(1-B72)/(B74+1)*B71)</f>
        <v/>
      </c>
      <c r="R83" s="56" t="str">
        <f>IF(OR(NOT(K71),(COLUMN()-3)-(B73+9)&lt;0,(B73+9+B74) - (COLUMN()-2) &lt;0),"",K71*(1-B72)/(B74+1)*B71)</f>
        <v/>
      </c>
      <c r="S83" s="56" t="str">
        <f>IF(OR(NOT(K71),(COLUMN()-3)-(B73+9)&lt;0,(B73+9+B74) - (COLUMN()-2) &lt;0),"",K71*(1-B72)/(B74+1)*B71)</f>
        <v/>
      </c>
      <c r="T83" s="56" t="str">
        <f>IF(OR(NOT(K71),(COLUMN()-3)-(B73+9)&lt;0,(B73+9+B74) - (COLUMN()-2) &lt;0),"",K71*(1-B72)/(B74+1)*B71)</f>
        <v/>
      </c>
      <c r="U83" s="56" t="str">
        <f>IF(OR(NOT(K71),(COLUMN()-3)-(B73+9)&lt;0,(B73+9+B74) - (COLUMN()-2) &lt;0),"",K71*(1-B72)/(B74+1)*B71)</f>
        <v/>
      </c>
      <c r="V83" s="56" t="str">
        <f>IF(OR(NOT(K71),(COLUMN()-3)-(B73+9)&lt;0,(B73+9+B74) - (COLUMN()-2) &lt;0),"",K71*(1-B72)/(B74+1)*B71)</f>
        <v/>
      </c>
      <c r="W83" s="56" t="str">
        <f>IF(OR(NOT(K71),(COLUMN()-3)-(B73+9)&lt;0,(B73+9+B74) - (COLUMN()-2) &lt;0),"",K71*(1-B72)/(B74+1)*B71)</f>
        <v/>
      </c>
      <c r="X83" s="56" t="str">
        <f>IF(OR(NOT(K71),(COLUMN()-3)-(B73+9)&lt;0,(B73+9+B74) - (COLUMN()-2) &lt;0),"",K71*(1-B72)/(B74+1)*B71)</f>
        <v/>
      </c>
      <c r="Y83" s="56" t="str">
        <f>IF(OR(NOT(K71),(COLUMN()-3)-(B73+9)&lt;0,(B73+9+B74) - (COLUMN()-2) &lt;0),"",K71*(1-B72)/(B74+1)*B71)</f>
        <v/>
      </c>
      <c r="Z83" s="56" t="str">
        <f>IF(OR(NOT(K71),(COLUMN()-3)-(B73+9)&lt;0,(B73+9+B74) - (COLUMN()-2) &lt;0),"",K71*(1-B72)/(B74+1)*B71)</f>
        <v/>
      </c>
      <c r="AA83" s="72" t="str">
        <f>IF(OR(NOT(K71),(COLUMN()-3)-(B73+9)&lt;0,(B73+9+B74) - (COLUMN()-2) &lt;0),"",K71*(1-B72)/(B74+1)*B71)</f>
        <v/>
      </c>
      <c r="AB83" s="72" t="str">
        <f>IF(OR(NOT(K71),(COLUMN()-3)-(B73+9)&lt;0,(B73+9+B74) - (COLUMN()-2) &lt;0),"",K71*(1-B72)/(B74+1)*B71)</f>
        <v/>
      </c>
      <c r="AC83" s="72" t="str">
        <f>IF(OR(NOT(K71),(COLUMN()-3)-(B73+9)&lt;0,(B73+9+B74) - (COLUMN()-2) &lt;0),"",K71*(1-B72)/(B74+1)*B71)</f>
        <v/>
      </c>
      <c r="AD83" s="72" t="str">
        <f>IF(OR(NOT(K71),(COLUMN()-3)-(B73+9)&lt;0,(B73+9+B74) - (COLUMN()-2) &lt;0),"",K71*(1-B72)/(B74+1)*B71)</f>
        <v/>
      </c>
      <c r="AE83" s="72" t="str">
        <f>IF(OR(NOT(K71),(COLUMN()-3)-(B73+9)&lt;0,(B73+9+B74) - (COLUMN()-2) &lt;0),"",K71*(1-B72)/(B74+1)*B71)</f>
        <v/>
      </c>
      <c r="AF83" s="72" t="str">
        <f>IF(OR(NOT(K71),(COLUMN()-3)-(B73+9)&lt;0,(B73+9+B74) - (COLUMN()-2) &lt;0),"",K71*(1-B72)/(B74+1)*B71)</f>
        <v/>
      </c>
      <c r="AG83" s="72" t="str">
        <f>IF(OR(NOT(K71),(COLUMN()-3)-(B73+9)&lt;0,(B73+9+B74) - (COLUMN()-2) &lt;0),"",K71*(1-B72)/(B74+1)*B71)</f>
        <v/>
      </c>
      <c r="AH83" s="91"/>
      <c r="AI83" s="91"/>
      <c r="AJ83" s="91"/>
    </row>
    <row r="84" spans="1:38" hidden="1">
      <c r="A84" s="91"/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50" t="str">
        <f>IF(OR(NOT(L71),(COLUMN()-3)-(B73+10)&lt;0,(B73+10+B74) - (COLUMN()-2) &lt;0),"",L71*(1-B72)/(B74+1)*B71)</f>
        <v/>
      </c>
      <c r="N84" s="50" t="str">
        <f>IF(OR(NOT(L71),(COLUMN()-3)-(B73+10)&lt;0,(B73+10+B74) - (COLUMN()-2) &lt;0),"",L71*(1-B72)/(B74+1)*B71)</f>
        <v/>
      </c>
      <c r="O84" s="56" t="str">
        <f>IF(OR(NOT(L71),(COLUMN()-3)-(B73+10)&lt;0,(B73+10+B74) - (COLUMN()-2) &lt;0),"",L71*(1-B72)/(B74+1)*B71)</f>
        <v/>
      </c>
      <c r="P84" s="56" t="str">
        <f>IF(OR(NOT(L71),(COLUMN()-3)-(B73+10)&lt;0,(B73+10+B74) - (COLUMN()-2) &lt;0),"",L71*(1-B72)/(B74+1)*B71)</f>
        <v/>
      </c>
      <c r="Q84" s="56" t="str">
        <f>IF(OR(NOT(L71),(COLUMN()-3)-(B73+10)&lt;0,(B73+10+B74) - (COLUMN()-2) &lt;0),"",L71*(1-B72)/(B74+1)*B71)</f>
        <v/>
      </c>
      <c r="R84" s="56" t="str">
        <f>IF(OR(NOT(L71),(COLUMN()-3)-(B73+10)&lt;0,(B73+10+B74) - (COLUMN()-2) &lt;0),"",L71*(1-B72)/(B74+1)*B71)</f>
        <v/>
      </c>
      <c r="S84" s="56" t="str">
        <f>IF(OR(NOT(L71),(COLUMN()-3)-(B73+10)&lt;0,(B73+10+B74) - (COLUMN()-2) &lt;0),"",L71*(1-B72)/(B74+1)*B71)</f>
        <v/>
      </c>
      <c r="T84" s="56" t="str">
        <f>IF(OR(NOT(L71),(COLUMN()-3)-(B73+10)&lt;0,(B73+10+B74) - (COLUMN()-2) &lt;0),"",L71*(1-B72)/(B74+1)*B71)</f>
        <v/>
      </c>
      <c r="U84" s="56" t="str">
        <f>IF(OR(NOT(L71),(COLUMN()-3)-(B73+10)&lt;0,(B73+10+B74) - (COLUMN()-2) &lt;0),"",L71*(1-B72)/(B74+1)*B71)</f>
        <v/>
      </c>
      <c r="V84" s="56" t="str">
        <f>IF(OR(NOT(L71),(COLUMN()-3)-(B73+10)&lt;0,(B73+10+B74) - (COLUMN()-2) &lt;0),"",L71*(1-B72)/(B74+1)*B71)</f>
        <v/>
      </c>
      <c r="W84" s="56" t="str">
        <f>IF(OR(NOT(L71),(COLUMN()-3)-(B73+10)&lt;0,(B73+10+B74) - (COLUMN()-2) &lt;0),"",L71*(1-B72)/(B74+1)*B71)</f>
        <v/>
      </c>
      <c r="X84" s="56" t="str">
        <f>IF(OR(NOT(L71),(COLUMN()-3)-(B73+10)&lt;0,(B73+10+B74) - (COLUMN()-2) &lt;0),"",L71*(1-B72)/(B74+1)*B71)</f>
        <v/>
      </c>
      <c r="Y84" s="56" t="str">
        <f>IF(OR(NOT(L71),(COLUMN()-3)-(B73+10)&lt;0,(B73+10+B74) - (COLUMN()-2) &lt;0),"",L71*(1-B72)/(B74+1)*B71)</f>
        <v/>
      </c>
      <c r="Z84" s="56" t="str">
        <f>IF(OR(NOT(L71),(COLUMN()-3)-(B73+10)&lt;0,(B73+10+B74) - (COLUMN()-2) &lt;0),"",L71*(1-B72)/(B74+1)*B71)</f>
        <v/>
      </c>
      <c r="AA84" s="72" t="str">
        <f>IF(OR(NOT(L71),(COLUMN()-3)-(B73+10)&lt;0,(B73+10+B74) - (COLUMN()-2) &lt;0),"",L71*(1-B72)/(B74+1)*B71)</f>
        <v/>
      </c>
      <c r="AB84" s="72" t="str">
        <f>IF(OR(NOT(L71),(COLUMN()-3)-(B73+10)&lt;0,(B73+10+B74) - (COLUMN()-2) &lt;0),"",L71*(1-B72)/(B74+1)*B71)</f>
        <v/>
      </c>
      <c r="AC84" s="72" t="str">
        <f>IF(OR(NOT(L71),(COLUMN()-3)-(B73+10)&lt;0,(B73+10+B74) - (COLUMN()-2) &lt;0),"",L71*(1-B72)/(B74+1)*B71)</f>
        <v/>
      </c>
      <c r="AD84" s="72" t="str">
        <f>IF(OR(NOT(L71),(COLUMN()-3)-(B73+10)&lt;0,(B73+10+B74) - (COLUMN()-2) &lt;0),"",L71*(1-B72)/(B74+1)*B71)</f>
        <v/>
      </c>
      <c r="AE84" s="72" t="str">
        <f>IF(OR(NOT(L71),(COLUMN()-3)-(B73+10)&lt;0,(B73+10+B74) - (COLUMN()-2) &lt;0),"",L71*(1-B72)/(B74+1)*B71)</f>
        <v/>
      </c>
      <c r="AF84" s="72" t="str">
        <f>IF(OR(NOT(L71),(COLUMN()-3)-(B73+10)&lt;0,(B73+10+B74) - (COLUMN()-2) &lt;0),"",L71*(1-B72)/(B74+1)*B71)</f>
        <v/>
      </c>
      <c r="AG84" s="72" t="str">
        <f>IF(OR(NOT(L71),(COLUMN()-3)-(B73+10)&lt;0,(B73+10+B74) - (COLUMN()-2) &lt;0),"",L71*(1-B72)/(B74+1)*B71)</f>
        <v/>
      </c>
      <c r="AH84" s="72" t="str">
        <f>IF(OR(NOT(L71),(COLUMN()-3)-(B73+10)&lt;0,(B73+10+B74) - (COLUMN()-2) &lt;0),"",L71*(1-B72)/(B74+1)*B71)</f>
        <v/>
      </c>
      <c r="AI84" s="91"/>
      <c r="AJ84" s="91"/>
    </row>
    <row r="85" spans="1:38" hidden="1">
      <c r="A85" s="91"/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50" t="str">
        <f>IF(OR(NOT(M71),(COLUMN()-3)-(B73+11)&lt;0,(B73+11+B74) - (COLUMN()-2) &lt;0),"",M71*(1-B72)/(B74+1)*B71)</f>
        <v/>
      </c>
      <c r="O85" s="56" t="str">
        <f>IF(OR(NOT(M71),(COLUMN()-3)-(B73+11)&lt;0,(B73+11+B74) - (COLUMN()-2) &lt;0),"",M71*(1-B72)/(B74+1)*B71)</f>
        <v/>
      </c>
      <c r="P85" s="56" t="str">
        <f>IF(OR(NOT(M71),(COLUMN()-3)-(B73+11)&lt;0,(B73+11+B74) - (COLUMN()-2) &lt;0),"",M71*(1-B72)/(B74+1)*B71)</f>
        <v/>
      </c>
      <c r="Q85" s="56" t="str">
        <f>IF(OR(NOT(M71),(COLUMN()-3)-(B73+11)&lt;0,(B73+11+B74) - (COLUMN()-2) &lt;0),"",M71*(1-B72)/(B74+1)*B71)</f>
        <v/>
      </c>
      <c r="R85" s="56" t="str">
        <f>IF(OR(NOT(M71),(COLUMN()-3)-(B73+11)&lt;0,(B73+11+B74) - (COLUMN()-2) &lt;0),"",M71*(1-B72)/(B74+1)*B71)</f>
        <v/>
      </c>
      <c r="S85" s="56" t="str">
        <f>IF(OR(NOT(M71),(COLUMN()-3)-(B73+11)&lt;0,(B73+11+B74) - (COLUMN()-2) &lt;0),"",M71*(1-B72)/(B74+1)*B71)</f>
        <v/>
      </c>
      <c r="T85" s="56" t="str">
        <f>IF(OR(NOT(M71),(COLUMN()-3)-(B73+11)&lt;0,(B73+11+B74) - (COLUMN()-2) &lt;0),"",M71*(1-B72)/(B74+1)*B71)</f>
        <v/>
      </c>
      <c r="U85" s="56" t="str">
        <f>IF(OR(NOT(M71),(COLUMN()-3)-(B73+11)&lt;0,(B73+11+B74) - (COLUMN()-2) &lt;0),"",M71*(1-B72)/(B74+1)*B71)</f>
        <v/>
      </c>
      <c r="V85" s="56" t="str">
        <f>IF(OR(NOT(M71),(COLUMN()-3)-(B73+11)&lt;0,(B73+11+B74) - (COLUMN()-2) &lt;0),"",M71*(1-B72)/(B74+1)*B71)</f>
        <v/>
      </c>
      <c r="W85" s="56" t="str">
        <f>IF(OR(NOT(M71),(COLUMN()-3)-(B73+11)&lt;0,(B73+11+B74) - (COLUMN()-2) &lt;0),"",M71*(1-B72)/(B74+1)*B71)</f>
        <v/>
      </c>
      <c r="X85" s="56" t="str">
        <f>IF(OR(NOT(M71),(COLUMN()-3)-(B73+11)&lt;0,(B73+11+B74) - (COLUMN()-2) &lt;0),"",M71*(1-B72)/(B74+1)*B71)</f>
        <v/>
      </c>
      <c r="Y85" s="56" t="str">
        <f>IF(OR(NOT(M71),(COLUMN()-3)-(B73+11)&lt;0,(B73+11+B74) - (COLUMN()-2) &lt;0),"",M71*(1-B72)/(B74+1)*B71)</f>
        <v/>
      </c>
      <c r="Z85" s="56" t="str">
        <f>IF(OR(NOT(M71),(COLUMN()-3)-(B73+11)&lt;0,(B73+11+B74) - (COLUMN()-2) &lt;0),"",M71*(1-B72)/(B74+1)*B71)</f>
        <v/>
      </c>
      <c r="AA85" s="72" t="str">
        <f>IF(OR(NOT(M71),(COLUMN()-3)-(B73+11)&lt;0,(B73+11+B74) - (COLUMN()-2) &lt;0),"",M71*(1-B72)/(B74+1)*B71)</f>
        <v/>
      </c>
      <c r="AB85" s="72" t="str">
        <f>IF(OR(NOT(M71),(COLUMN()-3)-(B73+11)&lt;0,(B73+11+B74) - (COLUMN()-2) &lt;0),"",M71*(1-B72)/(B74+1)*B71)</f>
        <v/>
      </c>
      <c r="AC85" s="72" t="str">
        <f>IF(OR(NOT(M71),(COLUMN()-3)-(B73+11)&lt;0,(B73+11+B74) - (COLUMN()-2) &lt;0),"",M71*(1-B72)/(B74+1)*B71)</f>
        <v/>
      </c>
      <c r="AD85" s="72" t="str">
        <f>IF(OR(NOT(M71),(COLUMN()-3)-(B73+11)&lt;0,(B73+11+B74) - (COLUMN()-2) &lt;0),"",M71*(1-B72)/(B74+1)*B71)</f>
        <v/>
      </c>
      <c r="AE85" s="72" t="str">
        <f>IF(OR(NOT(M71),(COLUMN()-3)-(B73+11)&lt;0,(B73+11+B74) - (COLUMN()-2) &lt;0),"",M71*(1-B72)/(B74+1)*B71)</f>
        <v/>
      </c>
      <c r="AF85" s="72" t="str">
        <f>IF(OR(NOT(M71),(COLUMN()-3)-(B73+11)&lt;0,(B73+11+B74) - (COLUMN()-2) &lt;0),"",M71*(1-B72)/(B74+1)*B71)</f>
        <v/>
      </c>
      <c r="AG85" s="72" t="str">
        <f>IF(OR(NOT(M71),(COLUMN()-3)-(B73+11)&lt;0,(B73+11+B74) - (COLUMN()-2) &lt;0),"",M71*(1-B72)/(B74+1)*B71)</f>
        <v/>
      </c>
      <c r="AH85" s="72" t="str">
        <f>IF(OR(NOT(M71),(COLUMN()-3)-(B73+11)&lt;0,(B73+11+B74) - (COLUMN()-2) &lt;0),"",M71*(1-B72)/(B74+1)*B71)</f>
        <v/>
      </c>
      <c r="AI85" s="72" t="str">
        <f>IF(OR(NOT(M71),(COLUMN()-3)-(B73+11)&lt;0,(B73+11+B74) - (COLUMN()-2) &lt;0),"",M71*(1-B72)/(B74+1)*B71)</f>
        <v/>
      </c>
      <c r="AJ85" s="91"/>
    </row>
    <row r="86" spans="1:38" hidden="1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56" t="str">
        <f>IF(OR(NOT(N71),(COLUMN()-3)-(B73+12)&lt;0,(B73+12+B74) - (COLUMN()-2) &lt;0),"",N71*(1-B72)/(B74+1)*B71)</f>
        <v/>
      </c>
      <c r="P86" s="56" t="str">
        <f>IF(OR(NOT(N71),(COLUMN()-3)-(B73+12)&lt;0,(B73+12+B74) - (COLUMN()-2) &lt;0),"",N71*(1-B72)/(B74+1)*B71)</f>
        <v/>
      </c>
      <c r="Q86" s="56" t="str">
        <f>IF(OR(NOT(N71),(COLUMN()-3)-(B73+12)&lt;0,(B73+12+B74) - (COLUMN()-2) &lt;0),"",N71*(1-B72)/(B74+1)*B71)</f>
        <v/>
      </c>
      <c r="R86" s="56" t="str">
        <f>IF(OR(NOT(N71),(COLUMN()-3)-(B73+12)&lt;0,(B73+12+B74) - (COLUMN()-2) &lt;0),"",N71*(1-B72)/(B74+1)*B71)</f>
        <v/>
      </c>
      <c r="S86" s="56" t="str">
        <f>IF(OR(NOT(N71),(COLUMN()-3)-(B73+12)&lt;0,(B73+12+B74) - (COLUMN()-2) &lt;0),"",N71*(1-B72)/(B74+1)*B71)</f>
        <v/>
      </c>
      <c r="T86" s="56" t="str">
        <f>IF(OR(NOT(N71),(COLUMN()-3)-(B73+12)&lt;0,(B73+12+B74) - (COLUMN()-2) &lt;0),"",N71*(1-B72)/(B74+1)*B71)</f>
        <v/>
      </c>
      <c r="U86" s="56" t="str">
        <f>IF(OR(NOT(N71),(COLUMN()-3)-(B73+12)&lt;0,(B73+12+B74) - (COLUMN()-2) &lt;0),"",N71*(1-B72)/(B74+1)*B71)</f>
        <v/>
      </c>
      <c r="V86" s="56" t="str">
        <f>IF(OR(NOT(N71),(COLUMN()-3)-(B73+12)&lt;0,(B73+12+B74) - (COLUMN()-2) &lt;0),"",N71*(1-B72)/(B74+1)*B71)</f>
        <v/>
      </c>
      <c r="W86" s="56" t="str">
        <f>IF(OR(NOT(N71),(COLUMN()-3)-(B73+12)&lt;0,(B73+12+B74) - (COLUMN()-2) &lt;0),"",N71*(1-B72)/(B74+1)*B71)</f>
        <v/>
      </c>
      <c r="X86" s="56" t="str">
        <f>IF(OR(NOT(N71),(COLUMN()-3)-(B73+12)&lt;0,(B73+12+B74) - (COLUMN()-2) &lt;0),"",N71*(1-B72)/(B74+1)*B71)</f>
        <v/>
      </c>
      <c r="Y86" s="56" t="str">
        <f>IF(OR(NOT(N71),(COLUMN()-3)-(B73+12)&lt;0,(B73+12+B74) - (COLUMN()-2) &lt;0),"",N71*(1-B72)/(B74+1)*B71)</f>
        <v/>
      </c>
      <c r="Z86" s="56" t="str">
        <f>IF(OR(NOT(N71),(COLUMN()-3)-(B73+12)&lt;0,(B73+12+B74) - (COLUMN()-2) &lt;0),"",N71*(1-B72)/(B74+1)*B71)</f>
        <v/>
      </c>
      <c r="AA86" s="72" t="str">
        <f>IF(OR(NOT(N71),(COLUMN()-3)-(B73+12)&lt;0,(B73+12+B74) - (COLUMN()-2) &lt;0),"",N71*(1-B72)/(B74+1)*B71)</f>
        <v/>
      </c>
      <c r="AB86" s="72" t="str">
        <f>IF(OR(NOT(N71),(COLUMN()-3)-(B73+12)&lt;0,(B73+12+B74) - (COLUMN()-2) &lt;0),"",N71*(1-B72)/(B74+1)*B71)</f>
        <v/>
      </c>
      <c r="AC86" s="72" t="str">
        <f>IF(OR(NOT(N71),(COLUMN()-3)-(B73+12)&lt;0,(B73+12+B74) - (COLUMN()-2) &lt;0),"",N71*(1-B72)/(B74+1)*B71)</f>
        <v/>
      </c>
      <c r="AD86" s="72" t="str">
        <f>IF(OR(NOT(N71),(COLUMN()-3)-(B73+12)&lt;0,(B73+12+B74) - (COLUMN()-2) &lt;0),"",N71*(1-B72)/(B74+1)*B71)</f>
        <v/>
      </c>
      <c r="AE86" s="72" t="str">
        <f>IF(OR(NOT(N71),(COLUMN()-3)-(B73+12)&lt;0,(B73+12+B74) - (COLUMN()-2) &lt;0),"",N71*(1-B72)/(B74+1)*B71)</f>
        <v/>
      </c>
      <c r="AF86" s="72" t="str">
        <f>IF(OR(NOT(N71),(COLUMN()-3)-(B73+12)&lt;0,(B73+12+B74) - (COLUMN()-2) &lt;0),"",N71*(1-B72)/(B74+1)*B71)</f>
        <v/>
      </c>
      <c r="AG86" s="72" t="str">
        <f>IF(OR(NOT(N71),(COLUMN()-3)-(B73+12)&lt;0,(B73+12+B74) - (COLUMN()-2) &lt;0),"",N71*(1-B72)/(B74+1)*B71)</f>
        <v/>
      </c>
      <c r="AH86" s="72" t="str">
        <f>IF(OR(NOT(N71),(COLUMN()-3)-(B73+12)&lt;0,(B73+12+B74) - (COLUMN()-2) &lt;0),"",N71*(1-B72)/(B74+1)*B71)</f>
        <v/>
      </c>
      <c r="AI86" s="72" t="str">
        <f>IF(OR(NOT(N71),(COLUMN()-3)-(B73+12)&lt;0,(B73+12+B74) - (COLUMN()-2) &lt;0),"",N71*(1-B72)/(B74+1)*B71)</f>
        <v/>
      </c>
      <c r="AJ86" s="72" t="str">
        <f>IF(OR(NOT(N71),(COLUMN()-3)-(B73+12)&lt;0,(B73+12+B74) - (COLUMN()-2) &lt;0),"",N71*(1-B72)/(B74+1)*B71)</f>
        <v/>
      </c>
    </row>
    <row r="87" spans="1:38">
      <c r="A87" s="90" t="s">
        <v>85</v>
      </c>
      <c r="B87" s="52"/>
      <c r="C87" s="92" t="str">
        <f>IF(-SUM(C72:C73)*B87,-SUM(C72:C73)*B87,"")</f>
        <v/>
      </c>
      <c r="D87" s="92" t="str">
        <f>IF(-SUM(D72:D74)*B87,-SUM(D72:D74)*B87,"")</f>
        <v/>
      </c>
      <c r="E87" s="92" t="str">
        <f>IF(-SUM(E72:E74)*B87,-SUM(E72:E74)*B87,"")</f>
        <v/>
      </c>
      <c r="F87" s="92" t="str">
        <f>IF(-SUM(F72:F74)*B87,-SUM(F72:F74)*B87,"")</f>
        <v/>
      </c>
      <c r="G87" s="92" t="str">
        <f>IF(-SUM(G72:G74)*B87,-SUM(G72:G74)*B87,"")</f>
        <v/>
      </c>
      <c r="H87" s="92" t="str">
        <f>IF(-SUM(H72:H74)*B87,-SUM(H72:H74)*B87,"")</f>
        <v/>
      </c>
      <c r="I87" s="92" t="str">
        <f>IF(-SUM(I72:I74)*B87,-SUM(I72:I74)*B87,"")</f>
        <v/>
      </c>
      <c r="J87" s="92" t="str">
        <f>IF(-SUM(J72:J74)*B87,-SUM(J72:J74)*B87,"")</f>
        <v/>
      </c>
      <c r="K87" s="92" t="str">
        <f>IF(-SUM(K72:K74)*B87,-SUM(K72:K74)*B87,"")</f>
        <v/>
      </c>
      <c r="L87" s="92" t="str">
        <f>IF(-SUM(L72:L74)*B87,-SUM(L72:L74)*B87,"")</f>
        <v/>
      </c>
      <c r="M87" s="92" t="str">
        <f>IF(-SUM(M72:M74)*B87,-SUM(M72:M74)*B87,"")</f>
        <v/>
      </c>
      <c r="N87" s="92" t="str">
        <f>IF(-SUM(N72:N74)*B87,-SUM(N72:N74)*B87,"")</f>
        <v/>
      </c>
      <c r="O87" s="92" t="str">
        <f>IF(-SUM(O73:O74)*B87,-SUM(O73:O74)*B87,"")</f>
        <v/>
      </c>
      <c r="P87" s="92" t="str">
        <f>IF(-SUM(P73:P74)*B87,-SUM(P73:P74)*B87,"")</f>
        <v/>
      </c>
      <c r="Q87" s="92" t="str">
        <f>IF(-SUM(Q73:Q74)*B87,-SUM(Q73:Q74)*B87,"")</f>
        <v/>
      </c>
      <c r="R87" s="92" t="str">
        <f>IF(-SUM(R73:R74)*B87,-SUM(R73:R74)*B87,"")</f>
        <v/>
      </c>
      <c r="S87" s="92" t="str">
        <f>IF(-SUM(S73:S74)*B87,-SUM(S73:S74)*B87,"")</f>
        <v/>
      </c>
      <c r="T87" s="92" t="str">
        <f>IF(-SUM(T73:T74)*B87,-SUM(T73:T74)*B87,"")</f>
        <v/>
      </c>
      <c r="U87" s="92" t="str">
        <f>IF(-SUM(U73:U74)*B87,-SUM(U73:U74)*B87,"")</f>
        <v/>
      </c>
      <c r="V87" s="92" t="str">
        <f>IF(-SUM(V73:V74)*B87,-SUM(V73:V74)*B87,"")</f>
        <v/>
      </c>
      <c r="W87" s="92" t="str">
        <f>IF(-SUM(W73:W74)*B87,-SUM(W73:W74)*B87,"")</f>
        <v/>
      </c>
      <c r="X87" s="92" t="str">
        <f>IF(-SUM(X73:X74)*B87,-SUM(X73:X74)*B87,"")</f>
        <v/>
      </c>
      <c r="Y87" s="92" t="str">
        <f>IF(-SUM(Y73:Y74)*B87,-SUM(Y73:Y74)*B87,"")</f>
        <v/>
      </c>
      <c r="Z87" s="92" t="str">
        <f>IF(-SUM(Z74)*B87,-Z74*B87,"")</f>
        <v/>
      </c>
      <c r="AA87" s="92" t="str">
        <f>IF(-SUM(AA74),-AA74*B87,"")</f>
        <v/>
      </c>
      <c r="AB87" s="92" t="str">
        <f>IF(-SUM(AB74)*B87,-AB74*B87,"")</f>
        <v/>
      </c>
      <c r="AC87" s="92" t="str">
        <f>IF(-SUM(AC74)*B87,-AC74*B87,"")</f>
        <v/>
      </c>
      <c r="AD87" s="92" t="str">
        <f>IF(-SUM(AD74)*B87,-AD74*B87,"")</f>
        <v/>
      </c>
      <c r="AE87" s="92" t="str">
        <f>IF(-SUM(AE74)*B87,-AE74*B87,"")</f>
        <v/>
      </c>
      <c r="AF87" s="92" t="str">
        <f>IF(-SUM(AF74)*B87,-AF74*B87,"")</f>
        <v/>
      </c>
      <c r="AG87" s="92" t="str">
        <f>IF(-SUM(AG74)*B87,-AG74*B87,"")</f>
        <v/>
      </c>
      <c r="AH87" s="92" t="str">
        <f>IF(-SUM(AH74)*B87,-AH74*B87,"")</f>
        <v/>
      </c>
      <c r="AI87" s="92" t="str">
        <f>IF(-SUM(AI74)*B87,-AI74*B87,"")</f>
        <v/>
      </c>
      <c r="AJ87" s="92" t="str">
        <f>IF(-SUM(AJ74)*B87,-AJ74*B87,"")</f>
        <v/>
      </c>
    </row>
    <row r="88" spans="1:38" ht="15" thickBot="1">
      <c r="A88" s="90" t="s">
        <v>86</v>
      </c>
      <c r="B88" s="4"/>
      <c r="C88" s="92" t="str">
        <f>IF(-B88*C71,-B88*C71,"")</f>
        <v/>
      </c>
      <c r="D88" s="92" t="str">
        <f>IF(-B88*D71,-B88*D71,"")</f>
        <v/>
      </c>
      <c r="E88" s="92" t="str">
        <f>IF(-B88*E71,-B88*E71,"")</f>
        <v/>
      </c>
      <c r="F88" s="92" t="str">
        <f>IF(-B88*F71,-B88*F71,"")</f>
        <v/>
      </c>
      <c r="G88" s="92" t="str">
        <f>IF(-B88*G71,-B88*G71,"")</f>
        <v/>
      </c>
      <c r="H88" s="92" t="str">
        <f>IF(-B88*H71,-B88*H71,"")</f>
        <v/>
      </c>
      <c r="I88" s="92" t="str">
        <f>IF(-B88*I71,-B88*I71,"")</f>
        <v/>
      </c>
      <c r="J88" s="92" t="str">
        <f>IF(-B88*J71,-B88*J71,"")</f>
        <v/>
      </c>
      <c r="K88" s="92" t="str">
        <f>IF(-B88*K71,-B88*K71,"")</f>
        <v/>
      </c>
      <c r="L88" s="92" t="str">
        <f>IF(-B88*L71,-B88*L71,"")</f>
        <v/>
      </c>
      <c r="M88" s="92" t="str">
        <f>IF(-B88*M71,-B88*M71,"")</f>
        <v/>
      </c>
      <c r="N88" s="92" t="str">
        <f>IF(-B88*N71,-B88*N71,"")</f>
        <v/>
      </c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</row>
    <row r="89" spans="1:38" ht="18.600000000000001" thickBot="1">
      <c r="B89" s="96" t="s">
        <v>87</v>
      </c>
      <c r="C89" s="93">
        <f>SUM(C72:C73)+SUM(C87:C88)</f>
        <v>0</v>
      </c>
      <c r="D89" s="93">
        <f>SUM(D72:D74)+SUM(D87:D88)</f>
        <v>0</v>
      </c>
      <c r="E89" s="93">
        <f t="shared" ref="E89" si="24">SUM(E72:E74)+SUM(E87:E88)</f>
        <v>0</v>
      </c>
      <c r="F89" s="93">
        <f t="shared" ref="F89" si="25">SUM(F72:F74)+SUM(F87:F88)</f>
        <v>0</v>
      </c>
      <c r="G89" s="93">
        <f t="shared" ref="G89:N89" si="26">SUM(G72:G74)+SUM(G87:G88)</f>
        <v>0</v>
      </c>
      <c r="H89" s="93">
        <f t="shared" si="26"/>
        <v>0</v>
      </c>
      <c r="I89" s="93">
        <f t="shared" si="26"/>
        <v>0</v>
      </c>
      <c r="J89" s="93">
        <f t="shared" si="26"/>
        <v>0</v>
      </c>
      <c r="K89" s="93">
        <f t="shared" si="26"/>
        <v>0</v>
      </c>
      <c r="L89" s="93">
        <f t="shared" si="26"/>
        <v>0</v>
      </c>
      <c r="M89" s="93">
        <f t="shared" si="26"/>
        <v>0</v>
      </c>
      <c r="N89" s="93">
        <f t="shared" si="26"/>
        <v>0</v>
      </c>
      <c r="O89" s="120">
        <f>SUM(O73:O74)+SUM(O87)</f>
        <v>0</v>
      </c>
      <c r="P89" s="120">
        <f t="shared" ref="P89:Y89" si="27">SUM(P73:P74)+SUM(P87)</f>
        <v>0</v>
      </c>
      <c r="Q89" s="120">
        <f t="shared" si="27"/>
        <v>0</v>
      </c>
      <c r="R89" s="120">
        <f t="shared" si="27"/>
        <v>0</v>
      </c>
      <c r="S89" s="120">
        <f t="shared" si="27"/>
        <v>0</v>
      </c>
      <c r="T89" s="120">
        <f t="shared" si="27"/>
        <v>0</v>
      </c>
      <c r="U89" s="120">
        <f t="shared" si="27"/>
        <v>0</v>
      </c>
      <c r="V89" s="120">
        <f t="shared" si="27"/>
        <v>0</v>
      </c>
      <c r="W89" s="120">
        <f t="shared" si="27"/>
        <v>0</v>
      </c>
      <c r="X89" s="120">
        <f t="shared" si="27"/>
        <v>0</v>
      </c>
      <c r="Y89" s="120">
        <f t="shared" si="27"/>
        <v>0</v>
      </c>
      <c r="Z89" s="120">
        <f>SUM(Z74)+SUM(Z87)</f>
        <v>0</v>
      </c>
      <c r="AA89" s="94">
        <f t="shared" ref="AA89:AJ89" si="28">SUM(AA74)+SUM(AA87)</f>
        <v>0</v>
      </c>
      <c r="AB89" s="94">
        <f t="shared" si="28"/>
        <v>0</v>
      </c>
      <c r="AC89" s="94">
        <f t="shared" si="28"/>
        <v>0</v>
      </c>
      <c r="AD89" s="94">
        <f t="shared" si="28"/>
        <v>0</v>
      </c>
      <c r="AE89" s="94">
        <f t="shared" si="28"/>
        <v>0</v>
      </c>
      <c r="AF89" s="94">
        <f t="shared" si="28"/>
        <v>0</v>
      </c>
      <c r="AG89" s="94">
        <f t="shared" si="28"/>
        <v>0</v>
      </c>
      <c r="AH89" s="94">
        <f t="shared" si="28"/>
        <v>0</v>
      </c>
      <c r="AI89" s="94">
        <f t="shared" si="28"/>
        <v>0</v>
      </c>
      <c r="AJ89" s="94">
        <f t="shared" si="28"/>
        <v>0</v>
      </c>
    </row>
    <row r="91" spans="1:38">
      <c r="A91" s="86" t="str">
        <f>IF('Reverse Engineering Valuation'!A38 = "","    ---    ",'Reverse Engineering Valuation'!A38)</f>
        <v xml:space="preserve">    ---    </v>
      </c>
      <c r="B91" s="87" t="str">
        <f>IF(ROUND(B97,1)&gt;0,CONCATENATE("Under by ",ROUND(B97,1)), IF(ROUND(B97,1)&lt;0, CONCATENATE("OVER BY ",ROUND(B97,1)), "You Matched"))</f>
        <v>You Matched</v>
      </c>
      <c r="C91" s="85">
        <f t="shared" ref="C91:N91" si="29">C70</f>
        <v>45292</v>
      </c>
      <c r="D91" s="85">
        <f t="shared" si="29"/>
        <v>45323</v>
      </c>
      <c r="E91" s="85">
        <f t="shared" si="29"/>
        <v>45352</v>
      </c>
      <c r="F91" s="85">
        <f t="shared" si="29"/>
        <v>45383</v>
      </c>
      <c r="G91" s="85">
        <f t="shared" si="29"/>
        <v>45413</v>
      </c>
      <c r="H91" s="85">
        <f t="shared" si="29"/>
        <v>45444</v>
      </c>
      <c r="I91" s="85">
        <f t="shared" si="29"/>
        <v>45474</v>
      </c>
      <c r="J91" s="85">
        <f t="shared" si="29"/>
        <v>45505</v>
      </c>
      <c r="K91" s="85">
        <f t="shared" si="29"/>
        <v>45536</v>
      </c>
      <c r="L91" s="85">
        <f t="shared" si="29"/>
        <v>45566</v>
      </c>
      <c r="M91" s="85">
        <f t="shared" si="29"/>
        <v>45597</v>
      </c>
      <c r="N91" s="85">
        <f t="shared" si="29"/>
        <v>45627</v>
      </c>
      <c r="O91" s="121" t="str">
        <f t="shared" ref="O91:AJ91" si="30" xml:space="preserve">  CONCATENATE("Ext +", COLUMN()-14)</f>
        <v>Ext +1</v>
      </c>
      <c r="P91" s="121" t="str">
        <f t="shared" si="30"/>
        <v>Ext +2</v>
      </c>
      <c r="Q91" s="121" t="str">
        <f t="shared" si="30"/>
        <v>Ext +3</v>
      </c>
      <c r="R91" s="121" t="str">
        <f t="shared" si="30"/>
        <v>Ext +4</v>
      </c>
      <c r="S91" s="121" t="str">
        <f t="shared" si="30"/>
        <v>Ext +5</v>
      </c>
      <c r="T91" s="121" t="str">
        <f t="shared" si="30"/>
        <v>Ext +6</v>
      </c>
      <c r="U91" s="121" t="str">
        <f t="shared" si="30"/>
        <v>Ext +7</v>
      </c>
      <c r="V91" s="121" t="str">
        <f t="shared" si="30"/>
        <v>Ext +8</v>
      </c>
      <c r="W91" s="121" t="str">
        <f t="shared" si="30"/>
        <v>Ext +9</v>
      </c>
      <c r="X91" s="121" t="str">
        <f t="shared" si="30"/>
        <v>Ext +10</v>
      </c>
      <c r="Y91" s="121" t="str">
        <f t="shared" si="30"/>
        <v>Ext +11</v>
      </c>
      <c r="Z91" s="121" t="str">
        <f t="shared" si="30"/>
        <v>Ext +12</v>
      </c>
      <c r="AA91" s="88" t="str">
        <f t="shared" si="30"/>
        <v>Ext +13</v>
      </c>
      <c r="AB91" s="88" t="str">
        <f t="shared" si="30"/>
        <v>Ext +14</v>
      </c>
      <c r="AC91" s="88" t="str">
        <f t="shared" si="30"/>
        <v>Ext +15</v>
      </c>
      <c r="AD91" s="88" t="str">
        <f t="shared" si="30"/>
        <v>Ext +16</v>
      </c>
      <c r="AE91" s="88" t="str">
        <f t="shared" si="30"/>
        <v>Ext +17</v>
      </c>
      <c r="AF91" s="88" t="str">
        <f t="shared" si="30"/>
        <v>Ext +18</v>
      </c>
      <c r="AG91" s="88" t="str">
        <f t="shared" si="30"/>
        <v>Ext +19</v>
      </c>
      <c r="AH91" s="88" t="str">
        <f t="shared" si="30"/>
        <v>Ext +20</v>
      </c>
      <c r="AI91" s="88" t="str">
        <f t="shared" si="30"/>
        <v>Ext +21</v>
      </c>
      <c r="AJ91" s="88" t="str">
        <f t="shared" si="30"/>
        <v>Ext +22</v>
      </c>
    </row>
    <row r="92" spans="1:38">
      <c r="A92" s="90" t="str">
        <f>A71</f>
        <v xml:space="preserve">Number of customers @ </v>
      </c>
      <c r="B92" s="50">
        <f>'Reverse Engineering Valuation'!B38</f>
        <v>0</v>
      </c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1"/>
      <c r="AL92" s="1"/>
    </row>
    <row r="93" spans="1:38">
      <c r="A93" s="90" t="s">
        <v>80</v>
      </c>
      <c r="B93" s="52"/>
      <c r="C93" s="50" t="str">
        <f>IF(C92*B93*B92,C92*B93*B92,"")</f>
        <v/>
      </c>
      <c r="D93" s="50" t="str">
        <f>IF(D92*B93*B92,D92*B93*B92,"")</f>
        <v/>
      </c>
      <c r="E93" s="50" t="str">
        <f>IF(E92*B93*B92,E92*B93*B92,"")</f>
        <v/>
      </c>
      <c r="F93" s="50" t="str">
        <f>IF(F92*B93*B92,F92*B93*B92,"")</f>
        <v/>
      </c>
      <c r="G93" s="50" t="str">
        <f>IF(G92*B93*B92,G92*B93*B92,"")</f>
        <v/>
      </c>
      <c r="H93" s="50" t="str">
        <f>IF(H92*B93*B92,H92*B93*B92,"")</f>
        <v/>
      </c>
      <c r="I93" s="50" t="str">
        <f>IF(I92*B93*B92,I92*B93*B92,"")</f>
        <v/>
      </c>
      <c r="J93" s="50" t="str">
        <f>IF(J92*B93*B92,J92*B93*B92,"")</f>
        <v/>
      </c>
      <c r="K93" s="50" t="str">
        <f>IF(K92*B93*B92,K92*B93*B92,"")</f>
        <v/>
      </c>
      <c r="L93" s="50" t="str">
        <f>IF(L92*B93*B92,L92*B93*B92,"")</f>
        <v/>
      </c>
      <c r="M93" s="50" t="str">
        <f>IF(M92*B93*B92,M92*B93*B92,"")</f>
        <v/>
      </c>
      <c r="N93" s="50" t="str">
        <f>IF(N92*B93*B92,N92*B93*B92,"")</f>
        <v/>
      </c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1"/>
    </row>
    <row r="94" spans="1:38">
      <c r="A94" s="90" t="s">
        <v>81</v>
      </c>
      <c r="B94" s="53"/>
      <c r="C94" s="50" t="str">
        <f>IF(IF((COLUMN()-2-B94)&gt;0,INDEX(C92:Z92,1, (COLUMN()-2-B94)),0)&gt;=1,(B92* IF((COLUMN()-2-B94)&gt;0,INDEX(C92:Z92,1, (COLUMN()-2-B94)),0)*(1-B93))/(B95+1),"")</f>
        <v/>
      </c>
      <c r="D94" s="50" t="str">
        <f>IF(IF((COLUMN()-2-B94)&gt;0,INDEX(C92:Z92,1, (COLUMN()-2-B94)),0)&gt;=1,(B92* IF((COLUMN()-2-B94)&gt;0,INDEX(C92:Z92,1, (COLUMN()-2-B94)),0)*(1-B93))/(B95+1),"")</f>
        <v/>
      </c>
      <c r="E94" s="50" t="str">
        <f>IF(IF((COLUMN()-2-B94)&gt;0,INDEX(C92:Z92,1, (COLUMN()-2-B94)),0)&gt;=1,(B92* IF((COLUMN()-2-B94)&gt;0,INDEX(C92:Z92,1, (COLUMN()-2-B94)),0)*(1-B93))/(B95+1),"")</f>
        <v/>
      </c>
      <c r="F94" s="50" t="str">
        <f>IF(IF((COLUMN()-2-B94)&gt;0,INDEX(C92:Z92,1, (COLUMN()-2-B94)),0)&gt;=1,(B92* IF((COLUMN()-2-B94)&gt;0,INDEX(C92:Z92,1, (COLUMN()-2-B94)),0)*(1-B93))/(B95+1),"")</f>
        <v/>
      </c>
      <c r="G94" s="50" t="str">
        <f>IF(IF((COLUMN()-2-B94)&gt;0,INDEX(C92:Z92,1, (COLUMN()-2-B94)),0)&gt;=1,(B92* IF((COLUMN()-2-B94)&gt;0,INDEX(C92:Z92,1, (COLUMN()-2-B94)),0)*(1-B93))/(B95+1),"")</f>
        <v/>
      </c>
      <c r="H94" s="50" t="str">
        <f>IF(IF((COLUMN()-2-B94)&gt;0,INDEX(C92:Z92,1, (COLUMN()-2-B94)),0)&gt;=1,(B92* IF((COLUMN()-2-B94)&gt;0,INDEX(C92:Z92,1, (COLUMN()-2-B94)),0)*(1-B93))/(B95+1),"")</f>
        <v/>
      </c>
      <c r="I94" s="50" t="str">
        <f>IF(IF((COLUMN()-2-B94)&gt;0,INDEX(C92:Z92,1, (COLUMN()-2-B94)),0)&gt;=1,(B92* IF((COLUMN()-2-B94)&gt;0,INDEX(C92:Z92,1, (COLUMN()-2-B94)),0)*(1-B93))/(B95+1),"")</f>
        <v/>
      </c>
      <c r="J94" s="50" t="str">
        <f>IF(IF((COLUMN()-2-B94)&gt;0,INDEX(C92:Z92,1, (COLUMN()-2-B94)),0)&gt;=1,(B92* IF((COLUMN()-2-B94)&gt;0,INDEX(C92:Z92,1, (COLUMN()-2-B94)),0)*(1-B93))/(B95+1),"")</f>
        <v/>
      </c>
      <c r="K94" s="50" t="str">
        <f>IF(IF((COLUMN()-2-B94)&gt;0,INDEX(C92:Z92,1, (COLUMN()-2-B94)),0)&gt;=1,(B92* IF((COLUMN()-2-B94)&gt;0,INDEX(C92:Z92,1, (COLUMN()-2-B94)),0)*(1-B93))/(B95+1),"")</f>
        <v/>
      </c>
      <c r="L94" s="50" t="str">
        <f>IF(IF((COLUMN()-2-B94)&gt;0,INDEX(C92:Z92,1, (COLUMN()-2-B94)),0)&gt;=1,(B92* IF((COLUMN()-2-B94)&gt;0,INDEX(C92:Z92,1, (COLUMN()-2-B94)),0)*(1-B93))/(B95+1),"")</f>
        <v/>
      </c>
      <c r="M94" s="50" t="str">
        <f>IF(IF((COLUMN()-2-B94)&gt;0,INDEX(C92:Z92,1, (COLUMN()-2-B94)),0)&gt;=1,(B92* IF((COLUMN()-2-B94)&gt;0,INDEX(C92:Z92,1, (COLUMN()-2-B94)),0)*(1-B93))/(B95+1),"")</f>
        <v/>
      </c>
      <c r="N94" s="50" t="str">
        <f>IF(IF((COLUMN()-2-B94)&gt;0,INDEX(C92:Z92,1, (COLUMN()-2-B94)),0)&gt;=1,(B92* IF((COLUMN()-2-B94)&gt;0,INDEX(C92:Z92,1, (COLUMN()-2-B94)),0)*(1-B93))/(B95+1),"")</f>
        <v/>
      </c>
      <c r="O94" s="56" t="str">
        <f>IF(IF((COLUMN()-2-B94)&gt;0,INDEX(C92:Z92,1, (COLUMN()-2-B94)),0)&gt;=1,(B92* IF((COLUMN()-2-B94)&gt;0,INDEX(C92:Z92,1, (COLUMN()-2-B94)),0)*(1-B93))/(B95+1),"")</f>
        <v/>
      </c>
      <c r="P94" s="56" t="str">
        <f>IF(IF((COLUMN()-2-B94)&gt;0,INDEX(C92:Z92,1, (COLUMN()-2-B94)),0)&gt;=1,(B92* IF((COLUMN()-2-B94)&gt;0,INDEX(C92:Z92,1, (COLUMN()-2-B94)),0)*(1-B93))/(B95+1),"")</f>
        <v/>
      </c>
      <c r="Q94" s="56" t="str">
        <f>IF(IF((COLUMN()-2-B94)&gt;0,INDEX(C92:Z92,1, (COLUMN()-2-B94)),0)&gt;=1,(B92* IF((COLUMN()-2-B94)&gt;0,INDEX(C92:Z92,1, (COLUMN()-2-B94)),0)*(1-B93))/(B95+1),"")</f>
        <v/>
      </c>
      <c r="R94" s="56" t="str">
        <f>IF(IF((COLUMN()-2-B94)&gt;0,INDEX(C92:Z92,1, (COLUMN()-2-B94)),0)&gt;=1,(B92* IF((COLUMN()-2-B94)&gt;0,INDEX(C92:Z92,1, (COLUMN()-2-B94)),0)*(1-B93))/(B95+1),"")</f>
        <v/>
      </c>
      <c r="S94" s="56" t="str">
        <f>IF(IF((COLUMN()-2-B94)&gt;0,INDEX(C92:Z92,1, (COLUMN()-2-B94)),0)&gt;=1,(B92* IF((COLUMN()-2-B94)&gt;0,INDEX(C92:Z92,1, (COLUMN()-2-B94)),0)*(1-B93))/(B95+1),"")</f>
        <v/>
      </c>
      <c r="T94" s="56" t="str">
        <f>IF(IF((COLUMN()-2-B94)&gt;0,INDEX(C92:Z92,1, (COLUMN()-2-B94)),0)&gt;=1,(B92* IF((COLUMN()-2-B94)&gt;0,INDEX(C92:Z92,1, (COLUMN()-2-B94)),0)*(1-B93))/(B95+1),"")</f>
        <v/>
      </c>
      <c r="U94" s="56" t="str">
        <f>IF(IF((COLUMN()-2-B94)&gt;0,INDEX(C92:Z92,1, (COLUMN()-2-B94)),0)&gt;=1,(B92* IF((COLUMN()-2-B94)&gt;0,INDEX(C92:Z92,1, (COLUMN()-2-B94)),0)*(1-B93))/(B95+1),"")</f>
        <v/>
      </c>
      <c r="V94" s="56" t="str">
        <f>IF(IF((COLUMN()-2-B94)&gt;0,INDEX(C92:Z92,1, (COLUMN()-2-B94)),0)&gt;=1,(B92* IF((COLUMN()-2-B94)&gt;0,INDEX(C92:Z92,1, (COLUMN()-2-B94)),0)*(1-B93))/(B95+1),"")</f>
        <v/>
      </c>
      <c r="W94" s="56" t="str">
        <f>IF(IF((COLUMN()-2-B94)&gt;0,INDEX(C92:Z92,1, (COLUMN()-2-B94)),0)&gt;=1,(B92* IF((COLUMN()-2-B94)&gt;0,INDEX(C92:Z92,1, (COLUMN()-2-B94)),0)*(1-B93))/(B95+1),"")</f>
        <v/>
      </c>
      <c r="X94" s="56" t="str">
        <f>IF(IF((COLUMN()-2-B94)&gt;0,INDEX(C92:Z92,1, (COLUMN()-2-B94)),0)&gt;=1,(B92* IF((COLUMN()-2-B94)&gt;0,INDEX(C92:Z92,1, (COLUMN()-2-B94)),0)*(1-B93))/(B95+1),"")</f>
        <v/>
      </c>
      <c r="Y94" s="56" t="str">
        <f>IF(IF((COLUMN()-2-B94)&gt;0,INDEX(C92:Z92,1, (COLUMN()-2-B94)),0)&gt;=1,(B92* IF((COLUMN()-2-B94)&gt;0,INDEX(C92:Z92,1, (COLUMN()-2-B94)),0)*(1-B93))/(B95+1),"")</f>
        <v/>
      </c>
      <c r="Z94" s="91" t="str">
        <f>IF(IF((COLUMN()-2-B94)&gt;0,INDEX(C92:Z92,1, (COLUMN()-2-B94)),0)&gt;=1,(B92* IF((COLUMN()-2-B94)&gt;0,INDEX(C92:Z92,1, (COLUMN()-2-B94)),0)*(1-B93))/(B95+1),"")</f>
        <v/>
      </c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1"/>
    </row>
    <row r="95" spans="1:38">
      <c r="A95" s="90" t="s">
        <v>82</v>
      </c>
      <c r="B95" s="53"/>
      <c r="C95" s="91"/>
      <c r="D95" s="50" t="str">
        <f>IF(SUM(D96),SUM(D96),"")</f>
        <v/>
      </c>
      <c r="E95" s="50" t="str">
        <f>IF(SUM(E96:E97),SUM(E96:E97),"")</f>
        <v/>
      </c>
      <c r="F95" s="50" t="str">
        <f>IF(SUM(F96:F98),SUM(F96:F98),"")</f>
        <v/>
      </c>
      <c r="G95" s="50" t="str">
        <f>IF(SUM(G96:G99),SUM(G96:G99),"")</f>
        <v/>
      </c>
      <c r="H95" s="50" t="str">
        <f>IF(SUM(H96:H100),SUM(H96:H100),"")</f>
        <v/>
      </c>
      <c r="I95" s="50" t="str">
        <f>IF(SUM(I96:I101),SUM(I96:I101),"")</f>
        <v/>
      </c>
      <c r="J95" s="50" t="str">
        <f>IF(SUM(J96:J102),SUM(J96:J102),"")</f>
        <v/>
      </c>
      <c r="K95" s="50" t="str">
        <f>IF(SUM(K96:K103),SUM(K96:K103),"")</f>
        <v/>
      </c>
      <c r="L95" s="50" t="str">
        <f>IF(SUM(L96:L104),SUM(L96:L104),"")</f>
        <v/>
      </c>
      <c r="M95" s="50" t="str">
        <f>IF(SUM(M96:M105),SUM(M96:M105),"")</f>
        <v/>
      </c>
      <c r="N95" s="50" t="str">
        <f>IF(SUM(N96:N106),SUM(N96:N106),"")</f>
        <v/>
      </c>
      <c r="O95" s="56" t="str">
        <f t="shared" ref="O95:Z95" si="31">IF(SUM(O96:O107),SUM(O96:O107),"")</f>
        <v/>
      </c>
      <c r="P95" s="56" t="str">
        <f t="shared" si="31"/>
        <v/>
      </c>
      <c r="Q95" s="56" t="str">
        <f t="shared" si="31"/>
        <v/>
      </c>
      <c r="R95" s="56" t="str">
        <f t="shared" si="31"/>
        <v/>
      </c>
      <c r="S95" s="56" t="str">
        <f t="shared" si="31"/>
        <v/>
      </c>
      <c r="T95" s="56" t="str">
        <f t="shared" si="31"/>
        <v/>
      </c>
      <c r="U95" s="56" t="str">
        <f t="shared" si="31"/>
        <v/>
      </c>
      <c r="V95" s="56" t="str">
        <f t="shared" si="31"/>
        <v/>
      </c>
      <c r="W95" s="56" t="str">
        <f t="shared" si="31"/>
        <v/>
      </c>
      <c r="X95" s="56" t="str">
        <f t="shared" si="31"/>
        <v/>
      </c>
      <c r="Y95" s="56" t="str">
        <f t="shared" si="31"/>
        <v/>
      </c>
      <c r="Z95" s="56" t="str">
        <f t="shared" si="31"/>
        <v/>
      </c>
      <c r="AA95" s="72" t="str">
        <f>IF(SUM(AA98:AA107),SUM(AA98:AA107),"")</f>
        <v/>
      </c>
      <c r="AB95" s="72" t="str">
        <f>IF(SUM(AB99:AB107),SUM(AB99:AB107),"")</f>
        <v/>
      </c>
      <c r="AC95" s="72" t="str">
        <f>IF(SUM(AC100:AC107),SUM(AC100:AC107),"")</f>
        <v/>
      </c>
      <c r="AD95" s="72" t="str">
        <f>IF(SUM(AD101:AD107),SUM(AD101:AD107),"")</f>
        <v/>
      </c>
      <c r="AE95" s="72" t="str">
        <f>IF(SUM(AE102:AE107),SUM(AE102:AE107),"")</f>
        <v/>
      </c>
      <c r="AF95" s="72" t="str">
        <f>IF(SUM(AF103:AF107),SUM(AF103:AF107),"")</f>
        <v/>
      </c>
      <c r="AG95" s="72" t="str">
        <f>IF(SUM(AG104:AG107),SUM(AG104:AG107),"")</f>
        <v/>
      </c>
      <c r="AH95" s="72" t="str">
        <f>IF(SUM(AH105:AH107),SUM(AH105:AH107),"")</f>
        <v/>
      </c>
      <c r="AI95" s="72" t="str">
        <f>IF(SUM(AI106:AI107),SUM(AI106:AI107),"")</f>
        <v/>
      </c>
      <c r="AJ95" s="72" t="str">
        <f>IF(SUM(AJ107),SUM(AJ107),"")</f>
        <v/>
      </c>
      <c r="AK95" s="1"/>
      <c r="AL95" s="1"/>
    </row>
    <row r="96" spans="1:38" hidden="1">
      <c r="A96" s="90" t="s">
        <v>83</v>
      </c>
      <c r="B96" s="51">
        <f>IF('Reverse Engineering Valuation'!F38,'Reverse Engineering Valuation'!H45,'Reverse Engineering Valuation'!E38)</f>
        <v>0</v>
      </c>
      <c r="C96" s="91"/>
      <c r="D96" s="50" t="str">
        <f>IF(OR(NOT(C92),(COLUMN()-3)-(B94+1)&lt;0,(B94+1+B95) - (COLUMN()-2) &lt;0),"",C92*(1-B93)/(B95+1)*B92)</f>
        <v/>
      </c>
      <c r="E96" s="50" t="str">
        <f>IF(OR(NOT(C92),(COLUMN()-3)-(B94+1)&lt;0,(B94+1+B95) - (COLUMN()-2) &lt;0),"",C92*(1-B93)/(B95+1)*B92)</f>
        <v/>
      </c>
      <c r="F96" s="50" t="str">
        <f>IF(OR(NOT(C92),(COLUMN()-3)-(B94+1)&lt;0,(B94+1+B95) - (COLUMN()-2) &lt;0),"",C92*(1-B93)/(B95+1)*B92)</f>
        <v/>
      </c>
      <c r="G96" s="50" t="str">
        <f>IF(OR(NOT(C92),(COLUMN()-3)-(B94+1)&lt;0,(B94+1+B95) - (COLUMN()-2) &lt;0),"",C92*(1-B93)/(B95+1)*B92)</f>
        <v/>
      </c>
      <c r="H96" s="50" t="str">
        <f>IF(OR(NOT(C92),(COLUMN()-3)-(B94+1)&lt;0,(B94+1+B95) - (COLUMN()-2) &lt;0),"",C92*(1-B93)/(B95+1)*B92)</f>
        <v/>
      </c>
      <c r="I96" s="50" t="str">
        <f>IF(OR(NOT(C92),(COLUMN()-3)-(B94+1)&lt;0,(B94+1+B95) - (COLUMN()-2) &lt;0),"",C92*(1-B93)/(B95+1)*B92)</f>
        <v/>
      </c>
      <c r="J96" s="50" t="str">
        <f>IF(OR(NOT(C92),(COLUMN()-3)-(B94+1)&lt;0,(B94+1+B95) - (COLUMN()-2) &lt;0),"",C92*(1-B93)/(B95+1)*B92)</f>
        <v/>
      </c>
      <c r="K96" s="50" t="str">
        <f>IF(OR(NOT(C92),(COLUMN()-3)-(B94+1)&lt;0,(B94+1+B95) - (COLUMN()-2) &lt;0),"",C92*(1-B93)/(B95+1)*B92)</f>
        <v/>
      </c>
      <c r="L96" s="50" t="str">
        <f>IF(OR(NOT(C92),(COLUMN()-3)-(B94+1)&lt;0,(B94+1+B95) - (COLUMN()-2) &lt;0),"",C92*(1-B93)/(B95+1)*B92)</f>
        <v/>
      </c>
      <c r="M96" s="50" t="str">
        <f>IF(OR(NOT(C92),(COLUMN()-3)-(B94+1)&lt;0,(B94+1+B95) - (COLUMN()-2) &lt;0),"",C92*(1-B93)/(B95+1)*B92)</f>
        <v/>
      </c>
      <c r="N96" s="50" t="str">
        <f>IF(OR(NOT(C92),(COLUMN()-3)-(B94+1)&lt;0,(B94+1+B95) - (COLUMN()-2) &lt;0),"",C92*(1-B93)/(B95+1)*B92)</f>
        <v/>
      </c>
      <c r="O96" s="56" t="str">
        <f>IF(OR(NOT(C92),(COLUMN()-3)-(B94+1)&lt;0,(B94+1+B95) - (COLUMN()-2) &lt;0),"",C92*(1-B93)/(B95+1)*B92)</f>
        <v/>
      </c>
      <c r="P96" s="56" t="str">
        <f>IF(OR(NOT(C92),(COLUMN()-3)-(B94+1)&lt;0,(B94+1+B95) - (COLUMN()-2) &lt;0),"",C92*(1-B93)/(B95+1)*B92)</f>
        <v/>
      </c>
      <c r="Q96" s="56" t="str">
        <f>IF(OR(NOT(C92),(COLUMN()-3)-(B94+1)&lt;0,(B94+1+B95) - (COLUMN()-2) &lt;0),"",C92*(1-B93)/(B95+1)*B92)</f>
        <v/>
      </c>
      <c r="R96" s="56" t="str">
        <f>IF(OR(NOT(C92),(COLUMN()-3)-(B94+1)&lt;0,(B94+1+B95) - (COLUMN()-2) &lt;0),"",C92*(1-B93)/(B95+1)*B92)</f>
        <v/>
      </c>
      <c r="S96" s="56" t="str">
        <f>IF(OR(NOT(C92),(COLUMN()-3)-(B94+1)&lt;0,(B94+1+B95) - (COLUMN()-2) &lt;0),"",C92*(1-B93)/(B95+1)*B92)</f>
        <v/>
      </c>
      <c r="T96" s="56" t="str">
        <f>IF(OR(NOT(C92),(COLUMN()-3)-(B94+1)&lt;0,(B94+1+B95) - (COLUMN()-2) &lt;0),"",C92*(1-B93)/(B95+1)*B92)</f>
        <v/>
      </c>
      <c r="U96" s="56" t="str">
        <f>IF(OR(NOT(C92),(COLUMN()-3)-(B94+1)&lt;0,(B94+1+B95) - (COLUMN()-2) &lt;0),"",C92*(1-B93)/(B95+1)*B92)</f>
        <v/>
      </c>
      <c r="V96" s="56" t="str">
        <f>IF(OR(NOT(C92),(COLUMN()-3)-(B94+1)&lt;0,(B94+1+B95) - (COLUMN()-2) &lt;0),"",C92*(1-B93)/(B95+1)*B92)</f>
        <v/>
      </c>
      <c r="W96" s="56" t="str">
        <f>IF(OR(NOT(C92),(COLUMN()-3)-(B94+1)&lt;0,(B94+1+B95) - (COLUMN()-2) &lt;0),"",C92*(1-B93)/(B95+1)*B92)</f>
        <v/>
      </c>
      <c r="X96" s="56" t="str">
        <f>IF(OR(NOT(C92),(COLUMN()-3)-(B94+1)&lt;0,(B94+1+B95) - (COLUMN()-2) &lt;0),"",C92*(1-B93)/(B95+1)*B92)</f>
        <v/>
      </c>
      <c r="Y96" s="56" t="str">
        <f>IF(OR(NOT(C92),(COLUMN()-3)-(B94+1)&lt;0,(B94+1+B95) - (COLUMN()-2) &lt;0),"",C92*(1-B93)/(B95+1)*B92)</f>
        <v/>
      </c>
      <c r="Z96" s="56" t="str">
        <f>IF(OR(NOT(C92),(COLUMN()-3)-(B94+1)&lt;0,(B94+1+B95) - (COLUMN()-2) &lt;0),"",C92*(1-B93)/(B95+1)*B92)</f>
        <v/>
      </c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1"/>
    </row>
    <row r="97" spans="1:37" hidden="1">
      <c r="A97" s="90" t="s">
        <v>84</v>
      </c>
      <c r="B97" s="54">
        <f>B96-SUM(C92:N92)</f>
        <v>0</v>
      </c>
      <c r="C97" s="91"/>
      <c r="D97" s="91"/>
      <c r="E97" s="50" t="str">
        <f>IF(OR(NOT(D92),(COLUMN()-3)-(B94+2)&lt;0,(B94+2 +B95) - (COLUMN()-2) &lt;0),"",D92*(1-B93)/(B95+1)*B92)</f>
        <v/>
      </c>
      <c r="F97" s="50" t="str">
        <f>IF(OR(NOT(D92),(COLUMN()-3)-(B94+2)&lt;0,(B94+2 +B95) - (COLUMN()-2) &lt;0),"",D92*(1-B93)/(B95+1)*B92)</f>
        <v/>
      </c>
      <c r="G97" s="50" t="str">
        <f>IF(OR(NOT(D92),(COLUMN()-3)-(B94+2)&lt;0,(B94+2 +B95) - (COLUMN()-2) &lt;0),"",D92*(1-B93)/(B95+1)*B92)</f>
        <v/>
      </c>
      <c r="H97" s="50" t="str">
        <f>IF(OR(NOT(D92),(COLUMN()-3)-(B94+2)&lt;0,(B94+2 +B95) - (COLUMN()-2) &lt;0),"",D92*(1-B93)/(B95+1)*B92)</f>
        <v/>
      </c>
      <c r="I97" s="50" t="str">
        <f>IF(OR(NOT(D92),(COLUMN()-3)-(B94+2)&lt;0,(B94+2 +B95) - (COLUMN()-2) &lt;0),"",D92*(1-B93)/(B95+1)*B92)</f>
        <v/>
      </c>
      <c r="J97" s="50" t="str">
        <f>IF(OR(NOT(D92),(COLUMN()-3)-(B94+2)&lt;0,(B94+2 +B95) - (COLUMN()-2) &lt;0),"",D92*(1-B93)/(B95+1)*B92)</f>
        <v/>
      </c>
      <c r="K97" s="50" t="str">
        <f>IF(OR(NOT(D92),(COLUMN()-3)-(B94+2)&lt;0,(B94+2 +B95) - (COLUMN()-2) &lt;0),"",D92*(1-B93)/(B95+1)*B92)</f>
        <v/>
      </c>
      <c r="L97" s="50" t="str">
        <f>IF(OR(NOT(D92),(COLUMN()-3)-(B94+2)&lt;0,(B94+2 +B95) - (COLUMN()-2) &lt;0),"",D92*(1-B93)/(B95+1)*B92)</f>
        <v/>
      </c>
      <c r="M97" s="50" t="str">
        <f>IF(OR(NOT(D92),(COLUMN()-3)-(B94+2)&lt;0,(B94+2 +B95) - (COLUMN()-2) &lt;0),"",D92*(1-B93)/(B95+1)*B92)</f>
        <v/>
      </c>
      <c r="N97" s="50" t="str">
        <f>IF(OR(NOT(D92),(COLUMN()-3)-(B94+2)&lt;0,(B94+2 +B95) - (COLUMN()-2) &lt;0),"",D92*(1-B93)/(B95+1)*B92)</f>
        <v/>
      </c>
      <c r="O97" s="56" t="str">
        <f>IF(OR(NOT(D92),(COLUMN()-3)-(B94+2)&lt;0,(B94+2 +B95) - (COLUMN()-2) &lt;0),"",D92*(1-B93)/(B95+1)*B92)</f>
        <v/>
      </c>
      <c r="P97" s="56" t="str">
        <f>IF(OR(NOT(D92),(COLUMN()-3)-(B94+2)&lt;0,(B94+2 +B95) - (COLUMN()-2) &lt;0),"",D92*(1-B93)/(B95+1)*B92)</f>
        <v/>
      </c>
      <c r="Q97" s="56" t="str">
        <f>IF(OR(NOT(D92),(COLUMN()-3)-(B94+2)&lt;0,(B94+2 +B95) - (COLUMN()-2) &lt;0),"",D92*(1-B93)/(B95+1)*B92)</f>
        <v/>
      </c>
      <c r="R97" s="56" t="str">
        <f>IF(OR(NOT(D92),(COLUMN()-3)-(B94+2)&lt;0,(B94+2 +B95) - (COLUMN()-2) &lt;0),"",D92*(1-B93)/(B95+1)*B92)</f>
        <v/>
      </c>
      <c r="S97" s="56" t="str">
        <f>IF(OR(NOT(D92),(COLUMN()-3)-(B94+2)&lt;0,(B94+2 +B95) - (COLUMN()-2) &lt;0),"",D92*(1-B93)/(B95+1)*B92)</f>
        <v/>
      </c>
      <c r="T97" s="56" t="str">
        <f>IF(OR(NOT(D92),(COLUMN()-3)-(B94+2)&lt;0,(B94+2 +B95) - (COLUMN()-2) &lt;0),"",D92*(1-B93)/(B95+1)*B92)</f>
        <v/>
      </c>
      <c r="U97" s="56" t="str">
        <f>IF(OR(NOT(D92),(COLUMN()-3)-(B94+2)&lt;0,(B94+2 +B95) - (COLUMN()-2) &lt;0),"",D92*(1-B93)/(B95+1)*B92)</f>
        <v/>
      </c>
      <c r="V97" s="56" t="str">
        <f>IF(OR(NOT(D92),(COLUMN()-3)-(B94+2)&lt;0,(B94+2 +B95) - (COLUMN()-2) &lt;0),"",D92*(1-B93)/(B95+1)*B92)</f>
        <v/>
      </c>
      <c r="W97" s="56" t="str">
        <f>IF(OR(NOT(D92),(COLUMN()-3)-(B94+2)&lt;0,(B94+2 +B95) - (COLUMN()-2) &lt;0),"",D92*(1-B93)/(B95+1)*B92)</f>
        <v/>
      </c>
      <c r="X97" s="56" t="str">
        <f>IF(OR(NOT(D92),(COLUMN()-3)-(B94+2)&lt;0,(B94+2 +B95) - (COLUMN()-2) &lt;0),"",D92*(1-B93)/(B95+1)*B92)</f>
        <v/>
      </c>
      <c r="Y97" s="56" t="str">
        <f>IF(OR(NOT(D92),(COLUMN()-3)-(B94+2)&lt;0,(B94+2 +B95) - (COLUMN()-2) &lt;0),"",D92*(1-B93)/(B95+1)*B92)</f>
        <v/>
      </c>
      <c r="Z97" s="56" t="str">
        <f>IF(OR(NOT(D92),(COLUMN()-3)-(B94+2)&lt;0,(B94+2 +B95) - (COLUMN()-2) &lt;0),"",D92*(1-B93)/(B95+1)*B92)</f>
        <v/>
      </c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1"/>
    </row>
    <row r="98" spans="1:37" hidden="1">
      <c r="A98" s="91"/>
      <c r="B98" s="91"/>
      <c r="C98" s="91"/>
      <c r="D98" s="91"/>
      <c r="E98" s="91"/>
      <c r="F98" s="50" t="str">
        <f>IF(OR(NOT(E92),(COLUMN()-3)-(B94+3)&lt;0,(B94+3+B95) - (COLUMN()-2) &lt;0),"",E92*(1-B93)/(B95+1)*B92)</f>
        <v/>
      </c>
      <c r="G98" s="50" t="str">
        <f>IF(OR(NOT(E92),(COLUMN()-3)-(B94+3)&lt;0,(B94+3+B95) - (COLUMN()-2) &lt;0),"",E92*(1-B93)/(B95+1)*B92)</f>
        <v/>
      </c>
      <c r="H98" s="50" t="str">
        <f>IF(OR(NOT(E92),(COLUMN()-3)-(B94+3)&lt;0,(B94+3+B95) - (COLUMN()-2) &lt;0),"",E92*(1-B93)/(B95+1)*B92)</f>
        <v/>
      </c>
      <c r="I98" s="50" t="str">
        <f>IF(OR(NOT(E92),(COLUMN()-3)-(B94+3)&lt;0,(B94+3+B95) - (COLUMN()-2) &lt;0),"",E92*(1-B93)/(B95+1)*B92)</f>
        <v/>
      </c>
      <c r="J98" s="50" t="str">
        <f>IF(OR(NOT(E92),(COLUMN()-3)-(B94+3)&lt;0,(B94+3+B95) - (COLUMN()-2) &lt;0),"",E92*(1-B93)/(B95+1)*B92)</f>
        <v/>
      </c>
      <c r="K98" s="50" t="str">
        <f>IF(OR(NOT(E92),(COLUMN()-3)-(B94+3)&lt;0,(B94+3+B95) - (COLUMN()-2) &lt;0),"",E92*(1-B93)/(B95+1)*B92)</f>
        <v/>
      </c>
      <c r="L98" s="50" t="str">
        <f>IF(OR(NOT(E92),(COLUMN()-3)-(B94+3)&lt;0,(B94+3+B95) - (COLUMN()-2) &lt;0),"",E92*(1-B93)/(B95+1)*B92)</f>
        <v/>
      </c>
      <c r="M98" s="50" t="str">
        <f>IF(OR(NOT(E92),(COLUMN()-3)-(B94+3)&lt;0,(B94+3+B95) - (COLUMN()-2) &lt;0),"",E92*(1-B93)/(B95+1)*B92)</f>
        <v/>
      </c>
      <c r="N98" s="50" t="str">
        <f>IF(OR(NOT(E92),(COLUMN()-3)-(B94+3)&lt;0,(B94+3+B95) - (COLUMN()-2) &lt;0),"",E92*(1-B93)/(B95+1)*B92)</f>
        <v/>
      </c>
      <c r="O98" s="56" t="str">
        <f>IF(OR(NOT(E92),(COLUMN()-3)-(B94+3)&lt;0,(B94+3+B95) - (COLUMN()-2) &lt;0),"",E92*(1-B93)/(B95+1)*B92)</f>
        <v/>
      </c>
      <c r="P98" s="56" t="str">
        <f>IF(OR(NOT(E92),(COLUMN()-3)-(B94+3)&lt;0,(B94+3+B95) - (COLUMN()-2) &lt;0),"",E92*(1-B93)/(B95+1)*B92)</f>
        <v/>
      </c>
      <c r="Q98" s="56" t="str">
        <f>IF(OR(NOT(E92),(COLUMN()-3)-(B94+3)&lt;0,(B94+3+B95) - (COLUMN()-2) &lt;0),"",E92*(1-B93)/(B95+1)*B92)</f>
        <v/>
      </c>
      <c r="R98" s="56" t="str">
        <f>IF(OR(NOT(E92),(COLUMN()-3)-(B94+3)&lt;0,(B94+3+B95) - (COLUMN()-2) &lt;0),"",E92*(1-B93)/(B95+1)*B92)</f>
        <v/>
      </c>
      <c r="S98" s="56" t="str">
        <f>IF(OR(NOT(E92),(COLUMN()-3)-(B94+3)&lt;0,(B94+3+B95) - (COLUMN()-2) &lt;0),"",E92*(1-B93)/(B95+1)*B92)</f>
        <v/>
      </c>
      <c r="T98" s="56" t="str">
        <f>IF(OR(NOT(E92),(COLUMN()-3)-(B94+3)&lt;0,(B94+3+B95) - (COLUMN()-2) &lt;0),"",E92*(1-B93)/(B95+1)*B92)</f>
        <v/>
      </c>
      <c r="U98" s="56" t="str">
        <f>IF(OR(NOT(E92),(COLUMN()-3)-(B94+3)&lt;0,(B94+3+B95) - (COLUMN()-2) &lt;0),"",E92*(1-B93)/(B95+1)*B92)</f>
        <v/>
      </c>
      <c r="V98" s="56" t="str">
        <f>IF(OR(NOT(E92),(COLUMN()-3)-(B94+3)&lt;0,(B94+3+B95) - (COLUMN()-2) &lt;0),"",E92*(1-B93)/(B95+1)*B92)</f>
        <v/>
      </c>
      <c r="W98" s="56" t="str">
        <f>IF(OR(NOT(E92),(COLUMN()-3)-(B94+3)&lt;0,(B94+3+B95) - (COLUMN()-2) &lt;0),"",E92*(1-B93)/(B95+1)*B92)</f>
        <v/>
      </c>
      <c r="X98" s="56" t="str">
        <f>IF(OR(NOT(E92),(COLUMN()-3)-(B94+3)&lt;0,(B94+3+B95) - (COLUMN()-2) &lt;0),"",E92*(1-B93)/(B95+1)*B92)</f>
        <v/>
      </c>
      <c r="Y98" s="56" t="str">
        <f>IF(OR(NOT(E92),(COLUMN()-3)-(B94+3)&lt;0,(B94+3+B95) - (COLUMN()-2) &lt;0),"",E92*(1-B93)/(B95+1)*B92)</f>
        <v/>
      </c>
      <c r="Z98" s="56" t="str">
        <f>IF(OR(NOT(E92),(COLUMN()-3)-(B94+3)&lt;0,(B94+3+B95) - (COLUMN()-2) &lt;0),"",E92*(1-B93)/(B95+1)*B92)</f>
        <v/>
      </c>
      <c r="AA98" s="72" t="str">
        <f>IF(OR(NOT(E92),(COLUMN()-3)-(B94+3)&lt;0,(B94+3+B95) - (COLUMN()-2) &lt;0),"",E92*(1-B93)/(B95+1)*B92)</f>
        <v/>
      </c>
      <c r="AB98" s="91"/>
      <c r="AC98" s="91"/>
      <c r="AD98" s="91"/>
      <c r="AE98" s="91"/>
      <c r="AF98" s="91"/>
      <c r="AG98" s="91"/>
      <c r="AH98" s="91"/>
      <c r="AI98" s="91"/>
      <c r="AJ98" s="91"/>
    </row>
    <row r="99" spans="1:37" hidden="1">
      <c r="A99" s="91"/>
      <c r="B99" s="91"/>
      <c r="C99" s="91"/>
      <c r="D99" s="91"/>
      <c r="E99" s="91"/>
      <c r="F99" s="91"/>
      <c r="G99" s="50" t="str">
        <f>IF(OR(NOT(F92),(COLUMN()-3)-(B94+4)&lt;0,(B94+4+B95) - (COLUMN()-2) &lt;0),"",F92*(1-B93)/(B95+1)*B92)</f>
        <v/>
      </c>
      <c r="H99" s="50" t="str">
        <f>IF(OR(NOT(F92),(COLUMN()-3)-(B94+4)&lt;0,(B94+4+B95) - (COLUMN()-2) &lt;0),"",F92*(1-B93)/(B95+1)*B92)</f>
        <v/>
      </c>
      <c r="I99" s="50" t="str">
        <f>IF(OR(NOT(F92),(COLUMN()-3)-(B94+4)&lt;0,(B94+4+B95) - (COLUMN()-2) &lt;0),"",F92*(1-B93)/(B95+1)*B92)</f>
        <v/>
      </c>
      <c r="J99" s="50" t="str">
        <f>IF(OR(NOT(F92),(COLUMN()-3)-(B94+4)&lt;0,(B94+4+B95) - (COLUMN()-2) &lt;0),"",F92*(1-B93)/(B95+1)*B92)</f>
        <v/>
      </c>
      <c r="K99" s="50" t="str">
        <f>IF(OR(NOT(F92),(COLUMN()-3)-(B94+4)&lt;0,(B94+4+B95) - (COLUMN()-2) &lt;0),"",F92*(1-B93)/(B95+1)*B92)</f>
        <v/>
      </c>
      <c r="L99" s="50" t="str">
        <f>IF(OR(NOT(F92),(COLUMN()-3)-(B94+4)&lt;0,(B94+4+B95) - (COLUMN()-2) &lt;0),"",F92*(1-B93)/(B95+1)*B92)</f>
        <v/>
      </c>
      <c r="M99" s="50" t="str">
        <f>IF(OR(NOT(F92),(COLUMN()-3)-(B94+4)&lt;0,(B94+4+B95) - (COLUMN()-2) &lt;0),"",F92*(1-B93)/(B95+1)*B92)</f>
        <v/>
      </c>
      <c r="N99" s="50" t="str">
        <f>IF(OR(NOT(F92),(COLUMN()-3)-(B94+4)&lt;0,(B94+4+B95) - (COLUMN()-2) &lt;0),"",F92*(1-B93)/(B95+1)*B92)</f>
        <v/>
      </c>
      <c r="O99" s="56" t="str">
        <f>IF(OR(NOT(F92),(COLUMN()-3)-(B94+4)&lt;0,(B94+4+B95) - (COLUMN()-2) &lt;0),"",F92*(1-B93)/(B95+1)*B92)</f>
        <v/>
      </c>
      <c r="P99" s="56" t="str">
        <f>IF(OR(NOT(F92),(COLUMN()-3)-(B94+4)&lt;0,(B94+4+B95) - (COLUMN()-2) &lt;0),"",F92*(1-B93)/(B95+1)*B92)</f>
        <v/>
      </c>
      <c r="Q99" s="56" t="str">
        <f>IF(OR(NOT(F92),(COLUMN()-3)-(B94+4)&lt;0,(B94+4+B95) - (COLUMN()-2) &lt;0),"",F92*(1-B93)/(B95+1)*B92)</f>
        <v/>
      </c>
      <c r="R99" s="56" t="str">
        <f>IF(OR(NOT(F92),(COLUMN()-3)-(B94+4)&lt;0,(B94+4+B95) - (COLUMN()-2) &lt;0),"",F92*(1-B93)/(B95+1)*B92)</f>
        <v/>
      </c>
      <c r="S99" s="56" t="str">
        <f>IF(OR(NOT(F92),(COLUMN()-3)-(B94+4)&lt;0,(B94+4+B95) - (COLUMN()-2) &lt;0),"",F92*(1-B93)/(B95+1)*B92)</f>
        <v/>
      </c>
      <c r="T99" s="56" t="str">
        <f>IF(OR(NOT(F92),(COLUMN()-3)-(B94+4)&lt;0,(B94+4+B95) - (COLUMN()-2) &lt;0),"",F92*(1-B93)/(B95+1)*B92)</f>
        <v/>
      </c>
      <c r="U99" s="56" t="str">
        <f>IF(OR(NOT(F92),(COLUMN()-3)-(B94+4)&lt;0,(B94+4+B95) - (COLUMN()-2) &lt;0),"",F92*(1-B93)/(B95+1)*B92)</f>
        <v/>
      </c>
      <c r="V99" s="56" t="str">
        <f>IF(OR(NOT(F92),(COLUMN()-3)-(B94+4)&lt;0,(B94+4+B95) - (COLUMN()-2) &lt;0),"",F92*(1-B93)/(B95+1)*B92)</f>
        <v/>
      </c>
      <c r="W99" s="56" t="str">
        <f>IF(OR(NOT(F92),(COLUMN()-3)-(B94+4)&lt;0,(B94+4+B95) - (COLUMN()-2) &lt;0),"",F92*(1-B93)/(B95+1)*B92)</f>
        <v/>
      </c>
      <c r="X99" s="56" t="str">
        <f>IF(OR(NOT(F92),(COLUMN()-3)-(B94+4)&lt;0,(B94+4+B95) - (COLUMN()-2) &lt;0),"",F92*(1-B93)/(B95+1)*B92)</f>
        <v/>
      </c>
      <c r="Y99" s="56" t="str">
        <f>IF(OR(NOT(F92),(COLUMN()-3)-(B94+4)&lt;0,(B94+4+B95) - (COLUMN()-2) &lt;0),"",F92*(1-B93)/(B95+1)*B92)</f>
        <v/>
      </c>
      <c r="Z99" s="56" t="str">
        <f>IF(OR(NOT(F92),(COLUMN()-3)-(B94+4)&lt;0,(B94+4+B95) - (COLUMN()-2) &lt;0),"",F92*(1-B93)/(B95+1)*B92)</f>
        <v/>
      </c>
      <c r="AA99" s="72" t="str">
        <f>IF(OR(NOT(F92),(COLUMN()-3)-(B94+4)&lt;0,(B94+4+B95) - (COLUMN()-2) &lt;0),"",F92*(1-B93)/(B95+1)*B92)</f>
        <v/>
      </c>
      <c r="AB99" s="72" t="str">
        <f>IF(OR(NOT(F92),(COLUMN()-3)-(B94+4)&lt;0,(B94+4+B95) - (COLUMN()-2) &lt;0),"",F92*(1-B93)/(B95+1)*B92)</f>
        <v/>
      </c>
      <c r="AC99" s="91"/>
      <c r="AD99" s="91"/>
      <c r="AE99" s="91"/>
      <c r="AF99" s="91"/>
      <c r="AG99" s="91"/>
      <c r="AH99" s="91"/>
      <c r="AI99" s="91"/>
      <c r="AJ99" s="91"/>
    </row>
    <row r="100" spans="1:37" hidden="1">
      <c r="A100" s="91"/>
      <c r="B100" s="91"/>
      <c r="C100" s="91"/>
      <c r="D100" s="91"/>
      <c r="E100" s="91"/>
      <c r="F100" s="91"/>
      <c r="G100" s="91"/>
      <c r="H100" s="50" t="str">
        <f>IF(OR(NOT(G92),(COLUMN()-3)-(B94+5)&lt;0,(B94+5+B95) - (COLUMN()-2) &lt;0),"",G92*(1-B93)/(B95+1)*B92)</f>
        <v/>
      </c>
      <c r="I100" s="50" t="str">
        <f>IF(OR(NOT(G92),(COLUMN()-3)-(B94+5)&lt;0,(B94+5+B95) - (COLUMN()-2) &lt;0),"",G92*(1-B93)/(B95+1)*B92)</f>
        <v/>
      </c>
      <c r="J100" s="50" t="str">
        <f>IF(OR(NOT(G92),(COLUMN()-3)-(B94+5)&lt;0,(B94+5+B95) - (COLUMN()-2) &lt;0),"",G92*(1-B93)/(B95+1)*B92)</f>
        <v/>
      </c>
      <c r="K100" s="50" t="str">
        <f>IF(OR(NOT(G92),(COLUMN()-3)-(B94+5)&lt;0,(B94+5+B95) - (COLUMN()-2) &lt;0),"",G92*(1-B93)/(B95+1)*B92)</f>
        <v/>
      </c>
      <c r="L100" s="50" t="str">
        <f>IF(OR(NOT(G92),(COLUMN()-3)-(B94+5)&lt;0,(B94+5+B95) - (COLUMN()-2) &lt;0),"",G92*(1-B93)/(B95+1)*B92)</f>
        <v/>
      </c>
      <c r="M100" s="50" t="str">
        <f>IF(OR(NOT(G92),(COLUMN()-3)-(B94+5)&lt;0,(B94+5+B95) - (COLUMN()-2) &lt;0),"",G92*(1-B93)/(B95+1)*B92)</f>
        <v/>
      </c>
      <c r="N100" s="50" t="str">
        <f>IF(OR(NOT(G92),(COLUMN()-3)-(B94+5)&lt;0,(B94+5+B95) - (COLUMN()-2) &lt;0),"",G92*(1-B93)/(B95+1)*B92)</f>
        <v/>
      </c>
      <c r="O100" s="56" t="str">
        <f>IF(OR(NOT(G92),(COLUMN()-3)-(B94+5)&lt;0,(B94+5+B95) - (COLUMN()-2) &lt;0),"",G92*(1-B93)/(B95+1)*B92)</f>
        <v/>
      </c>
      <c r="P100" s="56" t="str">
        <f>IF(OR(NOT(G92),(COLUMN()-3)-(B94+5)&lt;0,(B94+5+B95) - (COLUMN()-2) &lt;0),"",G92*(1-B93)/(B95+1)*B92)</f>
        <v/>
      </c>
      <c r="Q100" s="56" t="str">
        <f>IF(OR(NOT(G92),(COLUMN()-3)-(B94+5)&lt;0,(B94+5+B95) - (COLUMN()-2) &lt;0),"",G92*(1-B93)/(B95+1)*B92)</f>
        <v/>
      </c>
      <c r="R100" s="56" t="str">
        <f>IF(OR(NOT(G92),(COLUMN()-3)-(B94+5)&lt;0,(B94+5+B95) - (COLUMN()-2) &lt;0),"",G92*(1-B93)/(B95+1)*B92)</f>
        <v/>
      </c>
      <c r="S100" s="56" t="str">
        <f>IF(OR(NOT(G92),(COLUMN()-3)-(B94+5)&lt;0,(B94+5+B95) - (COLUMN()-2) &lt;0),"",G92*(1-B93)/(B95+1)*B92)</f>
        <v/>
      </c>
      <c r="T100" s="56" t="str">
        <f>IF(OR(NOT(G92),(COLUMN()-3)-(B94+5)&lt;0,(B94+5+B95) - (COLUMN()-2) &lt;0),"",G92*(1-B93)/(B95+1)*B92)</f>
        <v/>
      </c>
      <c r="U100" s="56" t="str">
        <f>IF(OR(NOT(G92),(COLUMN()-3)-(B94+5)&lt;0,(B94+5+B95) - (COLUMN()-2) &lt;0),"",G92*(1-B93)/(B95+1)*B92)</f>
        <v/>
      </c>
      <c r="V100" s="56" t="str">
        <f>IF(OR(NOT(G92),(COLUMN()-3)-(B94+5)&lt;0,(B94+5+B95) - (COLUMN()-2) &lt;0),"",G92*(1-B93)/(B95+1)*B92)</f>
        <v/>
      </c>
      <c r="W100" s="56" t="str">
        <f>IF(OR(NOT(G92),(COLUMN()-3)-(B94+5)&lt;0,(B94+5+B95) - (COLUMN()-2) &lt;0),"",G92*(1-B93)/(B95+1)*B92)</f>
        <v/>
      </c>
      <c r="X100" s="56" t="str">
        <f>IF(OR(NOT(G92),(COLUMN()-3)-(B94+5)&lt;0,(B94+5+B95) - (COLUMN()-2) &lt;0),"",G92*(1-B93)/(B95+1)*B92)</f>
        <v/>
      </c>
      <c r="Y100" s="56" t="str">
        <f>IF(OR(NOT(G92),(COLUMN()-3)-(B94+5)&lt;0,(B94+5+B95) - (COLUMN()-2) &lt;0),"",G92*(1-B93)/(B95+1)*B92)</f>
        <v/>
      </c>
      <c r="Z100" s="56" t="str">
        <f>IF(OR(NOT(G92),(COLUMN()-3)-(B94+5)&lt;0,(B94+5+B95) - (COLUMN()-2) &lt;0),"",G92*(1-B93)/(B95+1)*B92)</f>
        <v/>
      </c>
      <c r="AA100" s="72" t="str">
        <f>IF(OR(NOT(G92),(COLUMN()-3)-(B94+5)&lt;0,(B94+5+B95) - (COLUMN()-2) &lt;0),"",G92*(1-B93)/(B95+1)*B92)</f>
        <v/>
      </c>
      <c r="AB100" s="72" t="str">
        <f>IF(OR(NOT(G92),(COLUMN()-3)-(B94+5)&lt;0,(B94+5+B95) - (COLUMN()-2) &lt;0),"",G92*(1-B93)/(B95+1)*B92)</f>
        <v/>
      </c>
      <c r="AC100" s="72" t="str">
        <f>IF(OR(NOT(G92),(COLUMN()-3)-(B94+5)&lt;0,(B94+5+B95) - (COLUMN()-2) &lt;0),"",G92*(1-B93)/(B95+1)*B92)</f>
        <v/>
      </c>
      <c r="AD100" s="91"/>
      <c r="AE100" s="91"/>
      <c r="AF100" s="91"/>
      <c r="AG100" s="91"/>
      <c r="AH100" s="91"/>
      <c r="AI100" s="91"/>
      <c r="AJ100" s="91"/>
    </row>
    <row r="101" spans="1:37" hidden="1">
      <c r="A101" s="91"/>
      <c r="B101" s="91"/>
      <c r="C101" s="91"/>
      <c r="D101" s="91"/>
      <c r="E101" s="91"/>
      <c r="F101" s="91"/>
      <c r="G101" s="91"/>
      <c r="H101" s="91"/>
      <c r="I101" s="50" t="str">
        <f>IF(OR(NOT(H92),(COLUMN()-3)-(B94+6)&lt;0,(B94+6+B95) - (COLUMN()-2) &lt;0),"",H92*(1-B93)/(B95+1)*B92)</f>
        <v/>
      </c>
      <c r="J101" s="50" t="str">
        <f>IF(OR(NOT(H92),(COLUMN()-3)-(B94+6)&lt;0,(B94+6+B95) - (COLUMN()-2) &lt;0),"",H92*(1-B93)/(B95+1)*B92)</f>
        <v/>
      </c>
      <c r="K101" s="50" t="str">
        <f>IF(OR(NOT(H92),(COLUMN()-3)-(B94+6)&lt;0,(B94+6+B95) - (COLUMN()-2) &lt;0),"",H92*(1-B93)/(B95+1)*B92)</f>
        <v/>
      </c>
      <c r="L101" s="50" t="str">
        <f>IF(OR(NOT(H92),(COLUMN()-3)-(B94+6)&lt;0,(B94+6+B95) - (COLUMN()-2) &lt;0),"",H92*(1-B93)/(B95+1)*B92)</f>
        <v/>
      </c>
      <c r="M101" s="50" t="str">
        <f>IF(OR(NOT(H92),(COLUMN()-3)-(B94+6)&lt;0,(B94+6+B95) - (COLUMN()-2) &lt;0),"",H92*(1-B93)/(B95+1)*B92)</f>
        <v/>
      </c>
      <c r="N101" s="50" t="str">
        <f>IF(OR(NOT(H92),(COLUMN()-3)-(B94+6)&lt;0,(B94+6+B95) - (COLUMN()-2) &lt;0),"",H92*(1-B93)/(B95+1)*B92)</f>
        <v/>
      </c>
      <c r="O101" s="56" t="str">
        <f>IF(OR(NOT(H92),(COLUMN()-3)-(B94+6)&lt;0,(B94+6+B95) - (COLUMN()-2) &lt;0),"",H92*(1-B93)/(B95+1)*B92)</f>
        <v/>
      </c>
      <c r="P101" s="56" t="str">
        <f>IF(OR(NOT(H92),(COLUMN()-3)-(B94+6)&lt;0,(B94+6+B95) - (COLUMN()-2) &lt;0),"",H92*(1-B93)/(B95+1)*B92)</f>
        <v/>
      </c>
      <c r="Q101" s="56" t="str">
        <f>IF(OR(NOT(H92),(COLUMN()-3)-(B94+6)&lt;0,(B94+6+B95) - (COLUMN()-2) &lt;0),"",H92*(1-B93)/(B95+1)*B92)</f>
        <v/>
      </c>
      <c r="R101" s="56" t="str">
        <f>IF(OR(NOT(H92),(COLUMN()-3)-(B94+6)&lt;0,(B94+6+B95) - (COLUMN()-2) &lt;0),"",H92*(1-B93)/(B95+1)*B92)</f>
        <v/>
      </c>
      <c r="S101" s="56" t="str">
        <f>IF(OR(NOT(H92),(COLUMN()-3)-(B94+6)&lt;0,(B94+6+B95) - (COLUMN()-2) &lt;0),"",H92*(1-B93)/(B95+1)*B92)</f>
        <v/>
      </c>
      <c r="T101" s="56" t="str">
        <f>IF(OR(NOT(H92),(COLUMN()-3)-(B94+6)&lt;0,(B94+6+B95) - (COLUMN()-2) &lt;0),"",H92*(1-B93)/(B95+1)*B92)</f>
        <v/>
      </c>
      <c r="U101" s="56" t="str">
        <f>IF(OR(NOT(H92),(COLUMN()-3)-(B94+6)&lt;0,(B94+6+B95) - (COLUMN()-2) &lt;0),"",H92*(1-B93)/(B95+1)*B92)</f>
        <v/>
      </c>
      <c r="V101" s="56" t="str">
        <f>IF(OR(NOT(H92),(COLUMN()-3)-(B94+6)&lt;0,(B94+6+B95) - (COLUMN()-2) &lt;0),"",H92*(1-B93)/(B95+1)*B92)</f>
        <v/>
      </c>
      <c r="W101" s="56" t="str">
        <f>IF(OR(NOT(H92),(COLUMN()-3)-(B94+6)&lt;0,(B94+6+B95) - (COLUMN()-2) &lt;0),"",H92*(1-B93)/(B95+1)*B92)</f>
        <v/>
      </c>
      <c r="X101" s="56" t="str">
        <f>IF(OR(NOT(H92),(COLUMN()-3)-(B94+6)&lt;0,(B94+6+B95) - (COLUMN()-2) &lt;0),"",H92*(1-B93)/(B95+1)*B92)</f>
        <v/>
      </c>
      <c r="Y101" s="56" t="str">
        <f>IF(OR(NOT(H92),(COLUMN()-3)-(B94+6)&lt;0,(B94+6+B95) - (COLUMN()-2) &lt;0),"",H92*(1-B93)/(B95+1)*B92)</f>
        <v/>
      </c>
      <c r="Z101" s="56" t="str">
        <f>IF(OR(NOT(H92),(COLUMN()-3)-(B94+6)&lt;0,(B94+6+B95) - (COLUMN()-2) &lt;0),"",H92*(1-B93)/(B95+1)*B92)</f>
        <v/>
      </c>
      <c r="AA101" s="72" t="str">
        <f>IF(OR(NOT(H92),(COLUMN()-3)-(B94+6)&lt;0,(B94+6+B95) - (COLUMN()-2) &lt;0),"",H92*(1-B93)/(B95+1)*B92)</f>
        <v/>
      </c>
      <c r="AB101" s="72" t="str">
        <f>IF(OR(NOT(H92),(COLUMN()-3)-(B94+6)&lt;0,(B94+6+B95) - (COLUMN()-2) &lt;0),"",H92*(1-B93)/(B95+1)*B92)</f>
        <v/>
      </c>
      <c r="AC101" s="72" t="str">
        <f>IF(OR(NOT(H92),(COLUMN()-3)-(B94+6)&lt;0,(B94+6+B95) - (COLUMN()-2) &lt;0),"",H92*(1-B93)/(B95+1)*B92)</f>
        <v/>
      </c>
      <c r="AD101" s="72" t="str">
        <f>IF(OR(NOT(H92),(COLUMN()-3)-(B94+6)&lt;0,(B94+6+B95) - (COLUMN()-2) &lt;0),"",H92*(1-B93)/(B95+1)*B92)</f>
        <v/>
      </c>
      <c r="AE101" s="91"/>
      <c r="AF101" s="91"/>
      <c r="AG101" s="91"/>
      <c r="AH101" s="91"/>
      <c r="AI101" s="91"/>
      <c r="AJ101" s="91"/>
    </row>
    <row r="102" spans="1:37" hidden="1">
      <c r="A102" s="91"/>
      <c r="B102" s="91"/>
      <c r="C102" s="91"/>
      <c r="D102" s="91"/>
      <c r="E102" s="91"/>
      <c r="F102" s="91"/>
      <c r="G102" s="91"/>
      <c r="H102" s="91"/>
      <c r="I102" s="91"/>
      <c r="J102" s="50" t="str">
        <f>IF(OR(NOT(I92),(COLUMN()-3)-(B94+7)&lt;0,(B94+7+B95) - (COLUMN()-2) &lt;0),"",I92*(1-B93)/(B95+1)*B92)</f>
        <v/>
      </c>
      <c r="K102" s="50" t="str">
        <f>IF(OR(NOT(I92),(COLUMN()-3)-(B94+7)&lt;0,(B94+7+B95) - (COLUMN()-2) &lt;0),"",I92*(1-B93)/(B95+1)*B92)</f>
        <v/>
      </c>
      <c r="L102" s="50" t="str">
        <f>IF(OR(NOT(I92),(COLUMN()-3)-(B94+7)&lt;0,(B94+7+B95) - (COLUMN()-2) &lt;0),"",I92*(1-B93)/(B95+1)*B92)</f>
        <v/>
      </c>
      <c r="M102" s="50" t="str">
        <f>IF(OR(NOT(I92),(COLUMN()-3)-(B94+7)&lt;0,(B94+7+B95) - (COLUMN()-2) &lt;0),"",I92*(1-B93)/(B95+1)*B92)</f>
        <v/>
      </c>
      <c r="N102" s="50" t="str">
        <f>IF(OR(NOT(I92),(COLUMN()-3)-(B94+7)&lt;0,(B94+7+B95) - (COLUMN()-2) &lt;0),"",I92*(1-B93)/(B95+1)*B92)</f>
        <v/>
      </c>
      <c r="O102" s="56" t="str">
        <f>IF(OR(NOT(I92),(COLUMN()-3)-(B94+7)&lt;0,(B94+7+B95) - (COLUMN()-2) &lt;0),"",I92*(1-B93)/(B95+1)*B92)</f>
        <v/>
      </c>
      <c r="P102" s="56" t="str">
        <f>IF(OR(NOT(I92),(COLUMN()-3)-(B94+7)&lt;0,(B94+7+B95) - (COLUMN()-2) &lt;0),"",I92*(1-B93)/(B95+1)*B92)</f>
        <v/>
      </c>
      <c r="Q102" s="56" t="str">
        <f>IF(OR(NOT(I92),(COLUMN()-3)-(B94+7)&lt;0,(B94+7+B95) - (COLUMN()-2) &lt;0),"",I92*(1-B93)/(B95+1)*B92)</f>
        <v/>
      </c>
      <c r="R102" s="56" t="str">
        <f>IF(OR(NOT(I92),(COLUMN()-3)-(B94+7)&lt;0,(B94+7+B95) - (COLUMN()-2) &lt;0),"",I92*(1-B93)/(B95+1)*B92)</f>
        <v/>
      </c>
      <c r="S102" s="56" t="str">
        <f>IF(OR(NOT(I92),(COLUMN()-3)-(B94+7)&lt;0,(B94+7+B95) - (COLUMN()-2) &lt;0),"",I92*(1-B93)/(B95+1)*B92)</f>
        <v/>
      </c>
      <c r="T102" s="56" t="str">
        <f>IF(OR(NOT(I92),(COLUMN()-3)-(B94+7)&lt;0,(B94+7+B95) - (COLUMN()-2) &lt;0),"",I92*(1-B93)/(B95+1)*B92)</f>
        <v/>
      </c>
      <c r="U102" s="56" t="str">
        <f>IF(OR(NOT(I92),(COLUMN()-3)-(B94+7)&lt;0,(B94+7+B95) - (COLUMN()-2) &lt;0),"",I92*(1-B93)/(B95+1)*B92)</f>
        <v/>
      </c>
      <c r="V102" s="56" t="str">
        <f>IF(OR(NOT(I92),(COLUMN()-3)-(B94+7)&lt;0,(B94+7+B95) - (COLUMN()-2) &lt;0),"",I92*(1-B93)/(B95+1)*B92)</f>
        <v/>
      </c>
      <c r="W102" s="56" t="str">
        <f>IF(OR(NOT(I92),(COLUMN()-3)-(B94+7)&lt;0,(B94+7+B95) - (COLUMN()-2) &lt;0),"",I92*(1-B93)/(B95+1)*B92)</f>
        <v/>
      </c>
      <c r="X102" s="56" t="str">
        <f>IF(OR(NOT(I92),(COLUMN()-3)-(B94+7)&lt;0,(B94+7+B95) - (COLUMN()-2) &lt;0),"",I92*(1-B93)/(B95+1)*B92)</f>
        <v/>
      </c>
      <c r="Y102" s="56" t="str">
        <f>IF(OR(NOT(I92),(COLUMN()-3)-(B94+7)&lt;0,(B94+7+B95) - (COLUMN()-2) &lt;0),"",I92*(1-B93)/(B95+1)*B92)</f>
        <v/>
      </c>
      <c r="Z102" s="56" t="str">
        <f>IF(OR(NOT(I92),(COLUMN()-3)-(B94+7)&lt;0,(B94+7+B95) - (COLUMN()-2) &lt;0),"",I92*(1-B93)/(B95+1)*B92)</f>
        <v/>
      </c>
      <c r="AA102" s="72" t="str">
        <f>IF(OR(NOT(I92),(COLUMN()-3)-(B94+7)&lt;0,(B94+7+B95) - (COLUMN()-2) &lt;0),"",I92*(1-B93)/(B95+1)*B92)</f>
        <v/>
      </c>
      <c r="AB102" s="72" t="str">
        <f>IF(OR(NOT(I92),(COLUMN()-3)-(B94+7)&lt;0,(B94+7+B95) - (COLUMN()-2) &lt;0),"",I92*(1-B93)/(B95+1)*B92)</f>
        <v/>
      </c>
      <c r="AC102" s="72" t="str">
        <f>IF(OR(NOT(I92),(COLUMN()-3)-(B94+7)&lt;0,(B94+7+B95) - (COLUMN()-2) &lt;0),"",I92*(1-B93)/(B95+1)*B92)</f>
        <v/>
      </c>
      <c r="AD102" s="72" t="str">
        <f>IF(OR(NOT(I92),(COLUMN()-3)-(B94+7)&lt;0,(B94+7+B95) - (COLUMN()-2) &lt;0),"",I92*(1-B93)/(B95+1)*B92)</f>
        <v/>
      </c>
      <c r="AE102" s="72" t="str">
        <f>IF(OR(NOT(I92),(COLUMN()-3)-(B94+7)&lt;0,(B94+7+B95) - (COLUMN()-2) &lt;0),"",I92*(1-B93)/(B95+1)*B92)</f>
        <v/>
      </c>
      <c r="AF102" s="91"/>
      <c r="AG102" s="91"/>
      <c r="AH102" s="91"/>
      <c r="AI102" s="91"/>
      <c r="AJ102" s="91"/>
    </row>
    <row r="103" spans="1:37" hidden="1">
      <c r="A103" s="91"/>
      <c r="B103" s="91"/>
      <c r="C103" s="91"/>
      <c r="D103" s="91"/>
      <c r="E103" s="91"/>
      <c r="F103" s="91"/>
      <c r="G103" s="91"/>
      <c r="H103" s="91"/>
      <c r="I103" s="91"/>
      <c r="J103" s="91"/>
      <c r="K103" s="50" t="str">
        <f>IF(OR(NOT(J92),(COLUMN()-3)-(B94+8)&lt;0,(B94+8+B95) - (COLUMN()-2) &lt;0),"",J92*(1-B93)/(B95+1)*B92)</f>
        <v/>
      </c>
      <c r="L103" s="50" t="str">
        <f>IF(OR(NOT(J92),(COLUMN()-3)-(B94+8)&lt;0,(B94+8+B95) - (COLUMN()-2) &lt;0),"",J92*(1-B93)/(B95+1)*B92)</f>
        <v/>
      </c>
      <c r="M103" s="50" t="str">
        <f>IF(OR(NOT(J92),(COLUMN()-3)-(B94+8)&lt;0,(B94+8+B95) - (COLUMN()-2) &lt;0),"",J92*(1-B93)/(B95+1)*B92)</f>
        <v/>
      </c>
      <c r="N103" s="50" t="str">
        <f>IF(OR(NOT(J92),(COLUMN()-3)-(B94+8)&lt;0,(B94+8+B95) - (COLUMN()-2) &lt;0),"",J92*(1-B93)/(B95+1)*B92)</f>
        <v/>
      </c>
      <c r="O103" s="56" t="str">
        <f>IF(OR(NOT(J92),(COLUMN()-3)-(B94+8)&lt;0,(B94+8+B95) - (COLUMN()-2) &lt;0),"",J92*(1-B93)/(B95+1)*B92)</f>
        <v/>
      </c>
      <c r="P103" s="56" t="str">
        <f>IF(OR(NOT(J92),(COLUMN()-3)-(B94+8)&lt;0,(B94+8+B95) - (COLUMN()-2) &lt;0),"",J92*(1-B93)/(B95+1)*B92)</f>
        <v/>
      </c>
      <c r="Q103" s="56" t="str">
        <f>IF(OR(NOT(J92),(COLUMN()-3)-(B94+8)&lt;0,(B94+8+B95) - (COLUMN()-2) &lt;0),"",J92*(1-B93)/(B95+1)*B92)</f>
        <v/>
      </c>
      <c r="R103" s="56" t="str">
        <f>IF(OR(NOT(J92),(COLUMN()-3)-(B94+8)&lt;0,(B94+8+B95) - (COLUMN()-2) &lt;0),"",J92*(1-B93)/(B95+1)*B92)</f>
        <v/>
      </c>
      <c r="S103" s="56" t="str">
        <f>IF(OR(NOT(J92),(COLUMN()-3)-(B94+8)&lt;0,(B94+8+B95) - (COLUMN()-2) &lt;0),"",J92*(1-B93)/(B95+1)*B92)</f>
        <v/>
      </c>
      <c r="T103" s="56" t="str">
        <f>IF(OR(NOT(J92),(COLUMN()-3)-(B94+8)&lt;0,(B94+8+B95) - (COLUMN()-2) &lt;0),"",J92*(1-B93)/(B95+1)*B92)</f>
        <v/>
      </c>
      <c r="U103" s="56" t="str">
        <f>IF(OR(NOT(J92),(COLUMN()-3)-(B94+8)&lt;0,(B94+8+B95) - (COLUMN()-2) &lt;0),"",J92*(1-B93)/(B95+1)*B92)</f>
        <v/>
      </c>
      <c r="V103" s="56" t="str">
        <f>IF(OR(NOT(J92),(COLUMN()-3)-(B94+8)&lt;0,(B94+8+B95) - (COLUMN()-2) &lt;0),"",J92*(1-B93)/(B95+1)*B92)</f>
        <v/>
      </c>
      <c r="W103" s="56" t="str">
        <f>IF(OR(NOT(J92),(COLUMN()-3)-(B94+8)&lt;0,(B94+8+B95) - (COLUMN()-2) &lt;0),"",J92*(1-B93)/(B95+1)*B92)</f>
        <v/>
      </c>
      <c r="X103" s="56" t="str">
        <f>IF(OR(NOT(J92),(COLUMN()-3)-(B94+8)&lt;0,(B94+8+B95) - (COLUMN()-2) &lt;0),"",J92*(1-B93)/(B95+1)*B92)</f>
        <v/>
      </c>
      <c r="Y103" s="56" t="str">
        <f>IF(OR(NOT(J92),(COLUMN()-3)-(B94+8)&lt;0,(B94+8+B95) - (COLUMN()-2) &lt;0),"",J92*(1-B93)/(B95+1)*B92)</f>
        <v/>
      </c>
      <c r="Z103" s="56" t="str">
        <f>IF(OR(NOT(J92),(COLUMN()-3)-(B94+8)&lt;0,(B94+8+B95) - (COLUMN()-2) &lt;0),"",J92*(1-B93)/(B95+1)*B92)</f>
        <v/>
      </c>
      <c r="AA103" s="72" t="str">
        <f>IF(OR(NOT(J92),(COLUMN()-3)-(B94+8)&lt;0,(B94+8+B95) - (COLUMN()-2) &lt;0),"",J92*(1-B93)/(B95+1)*B92)</f>
        <v/>
      </c>
      <c r="AB103" s="72" t="str">
        <f>IF(OR(NOT(J92),(COLUMN()-3)-(B94+8)&lt;0,(B94+8+B95) - (COLUMN()-2) &lt;0),"",J92*(1-B93)/(B95+1)*B92)</f>
        <v/>
      </c>
      <c r="AC103" s="72" t="str">
        <f>IF(OR(NOT(J92),(COLUMN()-3)-(B94+8)&lt;0,(B94+8+B95) - (COLUMN()-2) &lt;0),"",J92*(1-B93)/(B95+1)*B92)</f>
        <v/>
      </c>
      <c r="AD103" s="72" t="str">
        <f>IF(OR(NOT(J92),(COLUMN()-3)-(B94+8)&lt;0,(B94+8+B95) - (COLUMN()-2) &lt;0),"",J92*(1-B93)/(B95+1)*B92)</f>
        <v/>
      </c>
      <c r="AE103" s="72" t="str">
        <f>IF(OR(NOT(J92),(COLUMN()-3)-(B94+8)&lt;0,(B94+8+B95) - (COLUMN()-2) &lt;0),"",J92*(1-B93)/(B95+1)*B92)</f>
        <v/>
      </c>
      <c r="AF103" s="72" t="str">
        <f>IF(OR(NOT(J92),(COLUMN()-3)-(B94+8)&lt;0,(B94+8+B95) - (COLUMN()-2) &lt;0),"",J92*(1-B93)/(B95+1)*B92)</f>
        <v/>
      </c>
      <c r="AG103" s="91"/>
      <c r="AH103" s="91"/>
      <c r="AI103" s="91"/>
      <c r="AJ103" s="91"/>
    </row>
    <row r="104" spans="1:37" hidden="1">
      <c r="A104" s="91"/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50" t="str">
        <f>IF(OR(NOT(K92),(COLUMN()-3)-(B94+9)&lt;0,(B94+9+B95) - (COLUMN()-2) &lt;0),"",K92*(1-B93)/(B95+1)*B92)</f>
        <v/>
      </c>
      <c r="M104" s="50" t="str">
        <f>IF(OR(NOT(K92),(COLUMN()-3)-(B94+9)&lt;0,(B94+9+B95) - (COLUMN()-2) &lt;0),"",K92*(1-B93)/(B95+1)*B92)</f>
        <v/>
      </c>
      <c r="N104" s="50" t="str">
        <f>IF(OR(NOT(K92),(COLUMN()-3)-(B94+9)&lt;0,(B94+9+B95) - (COLUMN()-2) &lt;0),"",K92*(1-B93)/(B95+1)*B92)</f>
        <v/>
      </c>
      <c r="O104" s="56" t="str">
        <f>IF(OR(NOT(K92),(COLUMN()-3)-(B94+9)&lt;0,(B94+9+B95) - (COLUMN()-2) &lt;0),"",K92*(1-B93)/(B95+1)*B92)</f>
        <v/>
      </c>
      <c r="P104" s="56" t="str">
        <f>IF(OR(NOT(K92),(COLUMN()-3)-(B94+9)&lt;0,(B94+9+B95) - (COLUMN()-2) &lt;0),"",K92*(1-B93)/(B95+1)*B92)</f>
        <v/>
      </c>
      <c r="Q104" s="56" t="str">
        <f>IF(OR(NOT(K92),(COLUMN()-3)-(B94+9)&lt;0,(B94+9+B95) - (COLUMN()-2) &lt;0),"",K92*(1-B93)/(B95+1)*B92)</f>
        <v/>
      </c>
      <c r="R104" s="56" t="str">
        <f>IF(OR(NOT(K92),(COLUMN()-3)-(B94+9)&lt;0,(B94+9+B95) - (COLUMN()-2) &lt;0),"",K92*(1-B93)/(B95+1)*B92)</f>
        <v/>
      </c>
      <c r="S104" s="56" t="str">
        <f>IF(OR(NOT(K92),(COLUMN()-3)-(B94+9)&lt;0,(B94+9+B95) - (COLUMN()-2) &lt;0),"",K92*(1-B93)/(B95+1)*B92)</f>
        <v/>
      </c>
      <c r="T104" s="56" t="str">
        <f>IF(OR(NOT(K92),(COLUMN()-3)-(B94+9)&lt;0,(B94+9+B95) - (COLUMN()-2) &lt;0),"",K92*(1-B93)/(B95+1)*B92)</f>
        <v/>
      </c>
      <c r="U104" s="56" t="str">
        <f>IF(OR(NOT(K92),(COLUMN()-3)-(B94+9)&lt;0,(B94+9+B95) - (COLUMN()-2) &lt;0),"",K92*(1-B93)/(B95+1)*B92)</f>
        <v/>
      </c>
      <c r="V104" s="56" t="str">
        <f>IF(OR(NOT(K92),(COLUMN()-3)-(B94+9)&lt;0,(B94+9+B95) - (COLUMN()-2) &lt;0),"",K92*(1-B93)/(B95+1)*B92)</f>
        <v/>
      </c>
      <c r="W104" s="56" t="str">
        <f>IF(OR(NOT(K92),(COLUMN()-3)-(B94+9)&lt;0,(B94+9+B95) - (COLUMN()-2) &lt;0),"",K92*(1-B93)/(B95+1)*B92)</f>
        <v/>
      </c>
      <c r="X104" s="56" t="str">
        <f>IF(OR(NOT(K92),(COLUMN()-3)-(B94+9)&lt;0,(B94+9+B95) - (COLUMN()-2) &lt;0),"",K92*(1-B93)/(B95+1)*B92)</f>
        <v/>
      </c>
      <c r="Y104" s="56" t="str">
        <f>IF(OR(NOT(K92),(COLUMN()-3)-(B94+9)&lt;0,(B94+9+B95) - (COLUMN()-2) &lt;0),"",K92*(1-B93)/(B95+1)*B92)</f>
        <v/>
      </c>
      <c r="Z104" s="56" t="str">
        <f>IF(OR(NOT(K92),(COLUMN()-3)-(B94+9)&lt;0,(B94+9+B95) - (COLUMN()-2) &lt;0),"",K92*(1-B93)/(B95+1)*B92)</f>
        <v/>
      </c>
      <c r="AA104" s="72" t="str">
        <f>IF(OR(NOT(K92),(COLUMN()-3)-(B94+9)&lt;0,(B94+9+B95) - (COLUMN()-2) &lt;0),"",K92*(1-B93)/(B95+1)*B92)</f>
        <v/>
      </c>
      <c r="AB104" s="72" t="str">
        <f>IF(OR(NOT(K92),(COLUMN()-3)-(B94+9)&lt;0,(B94+9+B95) - (COLUMN()-2) &lt;0),"",K92*(1-B93)/(B95+1)*B92)</f>
        <v/>
      </c>
      <c r="AC104" s="72" t="str">
        <f>IF(OR(NOT(K92),(COLUMN()-3)-(B94+9)&lt;0,(B94+9+B95) - (COLUMN()-2) &lt;0),"",K92*(1-B93)/(B95+1)*B92)</f>
        <v/>
      </c>
      <c r="AD104" s="72" t="str">
        <f>IF(OR(NOT(K92),(COLUMN()-3)-(B94+9)&lt;0,(B94+9+B95) - (COLUMN()-2) &lt;0),"",K92*(1-B93)/(B95+1)*B92)</f>
        <v/>
      </c>
      <c r="AE104" s="72" t="str">
        <f>IF(OR(NOT(K92),(COLUMN()-3)-(B94+9)&lt;0,(B94+9+B95) - (COLUMN()-2) &lt;0),"",K92*(1-B93)/(B95+1)*B92)</f>
        <v/>
      </c>
      <c r="AF104" s="72" t="str">
        <f>IF(OR(NOT(K92),(COLUMN()-3)-(B94+9)&lt;0,(B94+9+B95) - (COLUMN()-2) &lt;0),"",K92*(1-B93)/(B95+1)*B92)</f>
        <v/>
      </c>
      <c r="AG104" s="72" t="str">
        <f>IF(OR(NOT(K92),(COLUMN()-3)-(B94+9)&lt;0,(B94+9+B95) - (COLUMN()-2) &lt;0),"",K92*(1-B93)/(B95+1)*B92)</f>
        <v/>
      </c>
      <c r="AH104" s="91"/>
      <c r="AI104" s="91"/>
      <c r="AJ104" s="91"/>
    </row>
    <row r="105" spans="1:37" hidden="1">
      <c r="A105" s="91"/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50" t="str">
        <f>IF(OR(NOT(L92),(COLUMN()-3)-(B94+10)&lt;0,(B94+10+B95) - (COLUMN()-2) &lt;0),"",L92*(1-B93)/(B95+1)*B92)</f>
        <v/>
      </c>
      <c r="N105" s="50" t="str">
        <f>IF(OR(NOT(L92),(COLUMN()-3)-(B94+10)&lt;0,(B94+10+B95) - (COLUMN()-2) &lt;0),"",L92*(1-B93)/(B95+1)*B92)</f>
        <v/>
      </c>
      <c r="O105" s="56" t="str">
        <f>IF(OR(NOT(L92),(COLUMN()-3)-(B94+10)&lt;0,(B94+10+B95) - (COLUMN()-2) &lt;0),"",L92*(1-B93)/(B95+1)*B92)</f>
        <v/>
      </c>
      <c r="P105" s="56" t="str">
        <f>IF(OR(NOT(L92),(COLUMN()-3)-(B94+10)&lt;0,(B94+10+B95) - (COLUMN()-2) &lt;0),"",L92*(1-B93)/(B95+1)*B92)</f>
        <v/>
      </c>
      <c r="Q105" s="56" t="str">
        <f>IF(OR(NOT(L92),(COLUMN()-3)-(B94+10)&lt;0,(B94+10+B95) - (COLUMN()-2) &lt;0),"",L92*(1-B93)/(B95+1)*B92)</f>
        <v/>
      </c>
      <c r="R105" s="56" t="str">
        <f>IF(OR(NOT(L92),(COLUMN()-3)-(B94+10)&lt;0,(B94+10+B95) - (COLUMN()-2) &lt;0),"",L92*(1-B93)/(B95+1)*B92)</f>
        <v/>
      </c>
      <c r="S105" s="56" t="str">
        <f>IF(OR(NOT(L92),(COLUMN()-3)-(B94+10)&lt;0,(B94+10+B95) - (COLUMN()-2) &lt;0),"",L92*(1-B93)/(B95+1)*B92)</f>
        <v/>
      </c>
      <c r="T105" s="56" t="str">
        <f>IF(OR(NOT(L92),(COLUMN()-3)-(B94+10)&lt;0,(B94+10+B95) - (COLUMN()-2) &lt;0),"",L92*(1-B93)/(B95+1)*B92)</f>
        <v/>
      </c>
      <c r="U105" s="56" t="str">
        <f>IF(OR(NOT(L92),(COLUMN()-3)-(B94+10)&lt;0,(B94+10+B95) - (COLUMN()-2) &lt;0),"",L92*(1-B93)/(B95+1)*B92)</f>
        <v/>
      </c>
      <c r="V105" s="56" t="str">
        <f>IF(OR(NOT(L92),(COLUMN()-3)-(B94+10)&lt;0,(B94+10+B95) - (COLUMN()-2) &lt;0),"",L92*(1-B93)/(B95+1)*B92)</f>
        <v/>
      </c>
      <c r="W105" s="56" t="str">
        <f>IF(OR(NOT(L92),(COLUMN()-3)-(B94+10)&lt;0,(B94+10+B95) - (COLUMN()-2) &lt;0),"",L92*(1-B93)/(B95+1)*B92)</f>
        <v/>
      </c>
      <c r="X105" s="56" t="str">
        <f>IF(OR(NOT(L92),(COLUMN()-3)-(B94+10)&lt;0,(B94+10+B95) - (COLUMN()-2) &lt;0),"",L92*(1-B93)/(B95+1)*B92)</f>
        <v/>
      </c>
      <c r="Y105" s="56" t="str">
        <f>IF(OR(NOT(L92),(COLUMN()-3)-(B94+10)&lt;0,(B94+10+B95) - (COLUMN()-2) &lt;0),"",L92*(1-B93)/(B95+1)*B92)</f>
        <v/>
      </c>
      <c r="Z105" s="56" t="str">
        <f>IF(OR(NOT(L92),(COLUMN()-3)-(B94+10)&lt;0,(B94+10+B95) - (COLUMN()-2) &lt;0),"",L92*(1-B93)/(B95+1)*B92)</f>
        <v/>
      </c>
      <c r="AA105" s="72" t="str">
        <f>IF(OR(NOT(L92),(COLUMN()-3)-(B94+10)&lt;0,(B94+10+B95) - (COLUMN()-2) &lt;0),"",L92*(1-B93)/(B95+1)*B92)</f>
        <v/>
      </c>
      <c r="AB105" s="72" t="str">
        <f>IF(OR(NOT(L92),(COLUMN()-3)-(B94+10)&lt;0,(B94+10+B95) - (COLUMN()-2) &lt;0),"",L92*(1-B93)/(B95+1)*B92)</f>
        <v/>
      </c>
      <c r="AC105" s="72" t="str">
        <f>IF(OR(NOT(L92),(COLUMN()-3)-(B94+10)&lt;0,(B94+10+B95) - (COLUMN()-2) &lt;0),"",L92*(1-B93)/(B95+1)*B92)</f>
        <v/>
      </c>
      <c r="AD105" s="72" t="str">
        <f>IF(OR(NOT(L92),(COLUMN()-3)-(B94+10)&lt;0,(B94+10+B95) - (COLUMN()-2) &lt;0),"",L92*(1-B93)/(B95+1)*B92)</f>
        <v/>
      </c>
      <c r="AE105" s="72" t="str">
        <f>IF(OR(NOT(L92),(COLUMN()-3)-(B94+10)&lt;0,(B94+10+B95) - (COLUMN()-2) &lt;0),"",L92*(1-B93)/(B95+1)*B92)</f>
        <v/>
      </c>
      <c r="AF105" s="72" t="str">
        <f>IF(OR(NOT(L92),(COLUMN()-3)-(B94+10)&lt;0,(B94+10+B95) - (COLUMN()-2) &lt;0),"",L92*(1-B93)/(B95+1)*B92)</f>
        <v/>
      </c>
      <c r="AG105" s="72" t="str">
        <f>IF(OR(NOT(L92),(COLUMN()-3)-(B94+10)&lt;0,(B94+10+B95) - (COLUMN()-2) &lt;0),"",L92*(1-B93)/(B95+1)*B92)</f>
        <v/>
      </c>
      <c r="AH105" s="72" t="str">
        <f>IF(OR(NOT(L92),(COLUMN()-3)-(B94+10)&lt;0,(B94+10+B95) - (COLUMN()-2) &lt;0),"",L92*(1-B93)/(B95+1)*B92)</f>
        <v/>
      </c>
      <c r="AI105" s="91"/>
      <c r="AJ105" s="91"/>
    </row>
    <row r="106" spans="1:37" hidden="1">
      <c r="A106" s="91"/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50" t="str">
        <f>IF(OR(NOT(M92),(COLUMN()-3)-(B94+11)&lt;0,(B94+11+B95) - (COLUMN()-2) &lt;0),"",M92*(1-B93)/(B95+1)*B92)</f>
        <v/>
      </c>
      <c r="O106" s="56" t="str">
        <f>IF(OR(NOT(M92),(COLUMN()-3)-(B94+11)&lt;0,(B94+11+B95) - (COLUMN()-2) &lt;0),"",M92*(1-B93)/(B95+1)*B92)</f>
        <v/>
      </c>
      <c r="P106" s="56" t="str">
        <f>IF(OR(NOT(M92),(COLUMN()-3)-(B94+11)&lt;0,(B94+11+B95) - (COLUMN()-2) &lt;0),"",M92*(1-B93)/(B95+1)*B92)</f>
        <v/>
      </c>
      <c r="Q106" s="56" t="str">
        <f>IF(OR(NOT(M92),(COLUMN()-3)-(B94+11)&lt;0,(B94+11+B95) - (COLUMN()-2) &lt;0),"",M92*(1-B93)/(B95+1)*B92)</f>
        <v/>
      </c>
      <c r="R106" s="56" t="str">
        <f>IF(OR(NOT(M92),(COLUMN()-3)-(B94+11)&lt;0,(B94+11+B95) - (COLUMN()-2) &lt;0),"",M92*(1-B93)/(B95+1)*B92)</f>
        <v/>
      </c>
      <c r="S106" s="56" t="str">
        <f>IF(OR(NOT(M92),(COLUMN()-3)-(B94+11)&lt;0,(B94+11+B95) - (COLUMN()-2) &lt;0),"",M92*(1-B93)/(B95+1)*B92)</f>
        <v/>
      </c>
      <c r="T106" s="56" t="str">
        <f>IF(OR(NOT(M92),(COLUMN()-3)-(B94+11)&lt;0,(B94+11+B95) - (COLUMN()-2) &lt;0),"",M92*(1-B93)/(B95+1)*B92)</f>
        <v/>
      </c>
      <c r="U106" s="56" t="str">
        <f>IF(OR(NOT(M92),(COLUMN()-3)-(B94+11)&lt;0,(B94+11+B95) - (COLUMN()-2) &lt;0),"",M92*(1-B93)/(B95+1)*B92)</f>
        <v/>
      </c>
      <c r="V106" s="56" t="str">
        <f>IF(OR(NOT(M92),(COLUMN()-3)-(B94+11)&lt;0,(B94+11+B95) - (COLUMN()-2) &lt;0),"",M92*(1-B93)/(B95+1)*B92)</f>
        <v/>
      </c>
      <c r="W106" s="56" t="str">
        <f>IF(OR(NOT(M92),(COLUMN()-3)-(B94+11)&lt;0,(B94+11+B95) - (COLUMN()-2) &lt;0),"",M92*(1-B93)/(B95+1)*B92)</f>
        <v/>
      </c>
      <c r="X106" s="56" t="str">
        <f>IF(OR(NOT(M92),(COLUMN()-3)-(B94+11)&lt;0,(B94+11+B95) - (COLUMN()-2) &lt;0),"",M92*(1-B93)/(B95+1)*B92)</f>
        <v/>
      </c>
      <c r="Y106" s="56" t="str">
        <f>IF(OR(NOT(M92),(COLUMN()-3)-(B94+11)&lt;0,(B94+11+B95) - (COLUMN()-2) &lt;0),"",M92*(1-B93)/(B95+1)*B92)</f>
        <v/>
      </c>
      <c r="Z106" s="56" t="str">
        <f>IF(OR(NOT(M92),(COLUMN()-3)-(B94+11)&lt;0,(B94+11+B95) - (COLUMN()-2) &lt;0),"",M92*(1-B93)/(B95+1)*B92)</f>
        <v/>
      </c>
      <c r="AA106" s="72" t="str">
        <f>IF(OR(NOT(M92),(COLUMN()-3)-(B94+11)&lt;0,(B94+11+B95) - (COLUMN()-2) &lt;0),"",M92*(1-B93)/(B95+1)*B92)</f>
        <v/>
      </c>
      <c r="AB106" s="72" t="str">
        <f>IF(OR(NOT(M92),(COLUMN()-3)-(B94+11)&lt;0,(B94+11+B95) - (COLUMN()-2) &lt;0),"",M92*(1-B93)/(B95+1)*B92)</f>
        <v/>
      </c>
      <c r="AC106" s="72" t="str">
        <f>IF(OR(NOT(M92),(COLUMN()-3)-(B94+11)&lt;0,(B94+11+B95) - (COLUMN()-2) &lt;0),"",M92*(1-B93)/(B95+1)*B92)</f>
        <v/>
      </c>
      <c r="AD106" s="72" t="str">
        <f>IF(OR(NOT(M92),(COLUMN()-3)-(B94+11)&lt;0,(B94+11+B95) - (COLUMN()-2) &lt;0),"",M92*(1-B93)/(B95+1)*B92)</f>
        <v/>
      </c>
      <c r="AE106" s="72" t="str">
        <f>IF(OR(NOT(M92),(COLUMN()-3)-(B94+11)&lt;0,(B94+11+B95) - (COLUMN()-2) &lt;0),"",M92*(1-B93)/(B95+1)*B92)</f>
        <v/>
      </c>
      <c r="AF106" s="72" t="str">
        <f>IF(OR(NOT(M92),(COLUMN()-3)-(B94+11)&lt;0,(B94+11+B95) - (COLUMN()-2) &lt;0),"",M92*(1-B93)/(B95+1)*B92)</f>
        <v/>
      </c>
      <c r="AG106" s="72" t="str">
        <f>IF(OR(NOT(M92),(COLUMN()-3)-(B94+11)&lt;0,(B94+11+B95) - (COLUMN()-2) &lt;0),"",M92*(1-B93)/(B95+1)*B92)</f>
        <v/>
      </c>
      <c r="AH106" s="72" t="str">
        <f>IF(OR(NOT(M92),(COLUMN()-3)-(B94+11)&lt;0,(B94+11+B95) - (COLUMN()-2) &lt;0),"",M92*(1-B93)/(B95+1)*B92)</f>
        <v/>
      </c>
      <c r="AI106" s="72" t="str">
        <f>IF(OR(NOT(M92),(COLUMN()-3)-(B94+11)&lt;0,(B94+11+B95) - (COLUMN()-2) &lt;0),"",M92*(1-B93)/(B95+1)*B92)</f>
        <v/>
      </c>
      <c r="AJ106" s="91"/>
    </row>
    <row r="107" spans="1:37" hidden="1">
      <c r="A107" s="91"/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56" t="str">
        <f>IF(OR(NOT(N92),(COLUMN()-3)-(B94+12)&lt;0,(B94+12+B95) - (COLUMN()-2) &lt;0),"",N92*(1-B93)/(B95+1)*B92)</f>
        <v/>
      </c>
      <c r="P107" s="56" t="str">
        <f>IF(OR(NOT(N92),(COLUMN()-3)-(B94+12)&lt;0,(B94+12+B95) - (COLUMN()-2) &lt;0),"",N92*(1-B93)/(B95+1)*B92)</f>
        <v/>
      </c>
      <c r="Q107" s="56" t="str">
        <f>IF(OR(NOT(N92),(COLUMN()-3)-(B94+12)&lt;0,(B94+12+B95) - (COLUMN()-2) &lt;0),"",N92*(1-B93)/(B95+1)*B92)</f>
        <v/>
      </c>
      <c r="R107" s="56" t="str">
        <f>IF(OR(NOT(N92),(COLUMN()-3)-(B94+12)&lt;0,(B94+12+B95) - (COLUMN()-2) &lt;0),"",N92*(1-B93)/(B95+1)*B92)</f>
        <v/>
      </c>
      <c r="S107" s="56" t="str">
        <f>IF(OR(NOT(N92),(COLUMN()-3)-(B94+12)&lt;0,(B94+12+B95) - (COLUMN()-2) &lt;0),"",N92*(1-B93)/(B95+1)*B92)</f>
        <v/>
      </c>
      <c r="T107" s="56" t="str">
        <f>IF(OR(NOT(N92),(COLUMN()-3)-(B94+12)&lt;0,(B94+12+B95) - (COLUMN()-2) &lt;0),"",N92*(1-B93)/(B95+1)*B92)</f>
        <v/>
      </c>
      <c r="U107" s="56" t="str">
        <f>IF(OR(NOT(N92),(COLUMN()-3)-(B94+12)&lt;0,(B94+12+B95) - (COLUMN()-2) &lt;0),"",N92*(1-B93)/(B95+1)*B92)</f>
        <v/>
      </c>
      <c r="V107" s="56" t="str">
        <f>IF(OR(NOT(N92),(COLUMN()-3)-(B94+12)&lt;0,(B94+12+B95) - (COLUMN()-2) &lt;0),"",N92*(1-B93)/(B95+1)*B92)</f>
        <v/>
      </c>
      <c r="W107" s="56" t="str">
        <f>IF(OR(NOT(N92),(COLUMN()-3)-(B94+12)&lt;0,(B94+12+B95) - (COLUMN()-2) &lt;0),"",N92*(1-B93)/(B95+1)*B92)</f>
        <v/>
      </c>
      <c r="X107" s="56" t="str">
        <f>IF(OR(NOT(N92),(COLUMN()-3)-(B94+12)&lt;0,(B94+12+B95) - (COLUMN()-2) &lt;0),"",N92*(1-B93)/(B95+1)*B92)</f>
        <v/>
      </c>
      <c r="Y107" s="56" t="str">
        <f>IF(OR(NOT(N92),(COLUMN()-3)-(B94+12)&lt;0,(B94+12+B95) - (COLUMN()-2) &lt;0),"",N92*(1-B93)/(B95+1)*B92)</f>
        <v/>
      </c>
      <c r="Z107" s="56" t="str">
        <f>IF(OR(NOT(N92),(COLUMN()-3)-(B94+12)&lt;0,(B94+12+B95) - (COLUMN()-2) &lt;0),"",N92*(1-B93)/(B95+1)*B92)</f>
        <v/>
      </c>
      <c r="AA107" s="72" t="str">
        <f>IF(OR(NOT(N92),(COLUMN()-3)-(B94+12)&lt;0,(B94+12+B95) - (COLUMN()-2) &lt;0),"",N92*(1-B93)/(B95+1)*B92)</f>
        <v/>
      </c>
      <c r="AB107" s="72" t="str">
        <f>IF(OR(NOT(N92),(COLUMN()-3)-(B94+12)&lt;0,(B94+12+B95) - (COLUMN()-2) &lt;0),"",N92*(1-B93)/(B95+1)*B92)</f>
        <v/>
      </c>
      <c r="AC107" s="72" t="str">
        <f>IF(OR(NOT(N92),(COLUMN()-3)-(B94+12)&lt;0,(B94+12+B95) - (COLUMN()-2) &lt;0),"",N92*(1-B93)/(B95+1)*B92)</f>
        <v/>
      </c>
      <c r="AD107" s="72" t="str">
        <f>IF(OR(NOT(N92),(COLUMN()-3)-(B94+12)&lt;0,(B94+12+B95) - (COLUMN()-2) &lt;0),"",N92*(1-B93)/(B95+1)*B92)</f>
        <v/>
      </c>
      <c r="AE107" s="72" t="str">
        <f>IF(OR(NOT(N92),(COLUMN()-3)-(B94+12)&lt;0,(B94+12+B95) - (COLUMN()-2) &lt;0),"",N92*(1-B93)/(B95+1)*B92)</f>
        <v/>
      </c>
      <c r="AF107" s="72" t="str">
        <f>IF(OR(NOT(N92),(COLUMN()-3)-(B94+12)&lt;0,(B94+12+B95) - (COLUMN()-2) &lt;0),"",N92*(1-B93)/(B95+1)*B92)</f>
        <v/>
      </c>
      <c r="AG107" s="72" t="str">
        <f>IF(OR(NOT(N92),(COLUMN()-3)-(B94+12)&lt;0,(B94+12+B95) - (COLUMN()-2) &lt;0),"",N92*(1-B93)/(B95+1)*B92)</f>
        <v/>
      </c>
      <c r="AH107" s="72" t="str">
        <f>IF(OR(NOT(N92),(COLUMN()-3)-(B94+12)&lt;0,(B94+12+B95) - (COLUMN()-2) &lt;0),"",N92*(1-B93)/(B95+1)*B92)</f>
        <v/>
      </c>
      <c r="AI107" s="72" t="str">
        <f>IF(OR(NOT(N92),(COLUMN()-3)-(B94+12)&lt;0,(B94+12+B95) - (COLUMN()-2) &lt;0),"",N92*(1-B93)/(B95+1)*B92)</f>
        <v/>
      </c>
      <c r="AJ107" s="72" t="str">
        <f>IF(OR(NOT(N92),(COLUMN()-3)-(B94+12)&lt;0,(B94+12+B95) - (COLUMN()-2) &lt;0),"",N92*(1-B93)/(B95+1)*B92)</f>
        <v/>
      </c>
    </row>
    <row r="108" spans="1:37">
      <c r="A108" s="90" t="s">
        <v>85</v>
      </c>
      <c r="B108" s="52"/>
      <c r="C108" s="92" t="str">
        <f>IF(-SUM(C93:C94)*B108,-SUM(C93:C94)*B108,"")</f>
        <v/>
      </c>
      <c r="D108" s="92" t="str">
        <f>IF(-SUM(D93:D95)*B108,-SUM(D93:D95)*B108,"")</f>
        <v/>
      </c>
      <c r="E108" s="92" t="str">
        <f>IF(-SUM(E93:E95)*B108,-SUM(E93:E95)*B108,"")</f>
        <v/>
      </c>
      <c r="F108" s="92" t="str">
        <f>IF(-SUM(F93:F95)*B108,-SUM(F93:F95)*B108,"")</f>
        <v/>
      </c>
      <c r="G108" s="92" t="str">
        <f>IF(-SUM(G93:G95)*B108,-SUM(G93:G95)*B108,"")</f>
        <v/>
      </c>
      <c r="H108" s="92" t="str">
        <f>IF(-SUM(H93:H95)*B108,-SUM(H93:H95)*B108,"")</f>
        <v/>
      </c>
      <c r="I108" s="92" t="str">
        <f>IF(-SUM(I93:I95)*B108,-SUM(I93:I95)*B108,"")</f>
        <v/>
      </c>
      <c r="J108" s="92" t="str">
        <f>IF(-SUM(J93:J95)*B108,-SUM(J93:J95)*B108,"")</f>
        <v/>
      </c>
      <c r="K108" s="92" t="str">
        <f>IF(-SUM(K93:K95)*B108,-SUM(K93:K95)*B108,"")</f>
        <v/>
      </c>
      <c r="L108" s="92" t="str">
        <f>IF(-SUM(L93:L95)*B108,-SUM(L93:L95)*B108,"")</f>
        <v/>
      </c>
      <c r="M108" s="92" t="str">
        <f>IF(-SUM(M93:M95)*B108,-SUM(M93:M95)*B108,"")</f>
        <v/>
      </c>
      <c r="N108" s="92" t="str">
        <f>IF(-SUM(N93:N95)*B108,-SUM(N93:N95)*B108,"")</f>
        <v/>
      </c>
      <c r="O108" s="92" t="str">
        <f>IF(-SUM(O94:O95)*B108,-SUM(O94:O95)*B108,"")</f>
        <v/>
      </c>
      <c r="P108" s="92" t="str">
        <f>IF(-SUM(P94:P95)*B108,-SUM(P94:P95)*B108,"")</f>
        <v/>
      </c>
      <c r="Q108" s="92" t="str">
        <f>IF(-SUM(Q94:Q95)*B108,-SUM(Q94:Q95)*B108,"")</f>
        <v/>
      </c>
      <c r="R108" s="92" t="str">
        <f>IF(-SUM(R94:R95)*B108,-SUM(R94:R95)*B108,"")</f>
        <v/>
      </c>
      <c r="S108" s="92" t="str">
        <f>IF(-SUM(S94:S95)*B108,-SUM(S94:S95)*B108,"")</f>
        <v/>
      </c>
      <c r="T108" s="92" t="str">
        <f>IF(-SUM(T94:T95)*B108,-SUM(T94:T95)*B108,"")</f>
        <v/>
      </c>
      <c r="U108" s="92" t="str">
        <f>IF(-SUM(U94:U95)*B108,-SUM(U94:U95)*B108,"")</f>
        <v/>
      </c>
      <c r="V108" s="92" t="str">
        <f>IF(-SUM(V94:V95)*B108,-SUM(V94:V95)*B108,"")</f>
        <v/>
      </c>
      <c r="W108" s="92" t="str">
        <f>IF(-SUM(W94:W95)*B108,-SUM(W94:W95)*B108,"")</f>
        <v/>
      </c>
      <c r="X108" s="92" t="str">
        <f>IF(-SUM(X94:X95)*B108,-SUM(X94:X95)*B108,"")</f>
        <v/>
      </c>
      <c r="Y108" s="92" t="str">
        <f>IF(-SUM(Y94:Y95)*B108,-SUM(Y94:Y95)*B108,"")</f>
        <v/>
      </c>
      <c r="Z108" s="92" t="str">
        <f>IF(-SUM(Z95)*B108,-Z95*B108,"")</f>
        <v/>
      </c>
      <c r="AA108" s="92" t="str">
        <f>IF(-SUM(AA95),-AA95*B108,"")</f>
        <v/>
      </c>
      <c r="AB108" s="92" t="str">
        <f>IF(-SUM(AB95)*B108,-AB95*B108,"")</f>
        <v/>
      </c>
      <c r="AC108" s="92" t="str">
        <f>IF(-SUM(AC95)*B108,-AC95*B108,"")</f>
        <v/>
      </c>
      <c r="AD108" s="92" t="str">
        <f>IF(-SUM(AD95)*B108,-AD95*B108,"")</f>
        <v/>
      </c>
      <c r="AE108" s="92" t="str">
        <f>IF(-SUM(AE95)*B108,-AE95*B108,"")</f>
        <v/>
      </c>
      <c r="AF108" s="92" t="str">
        <f>IF(-SUM(AF95)*B108,-AF95*B108,"")</f>
        <v/>
      </c>
      <c r="AG108" s="92" t="str">
        <f>IF(-SUM(AG95)*B108,-AG95*B108,"")</f>
        <v/>
      </c>
      <c r="AH108" s="92" t="str">
        <f>IF(-SUM(AH95)*B108,-AH95*B108,"")</f>
        <v/>
      </c>
      <c r="AI108" s="92" t="str">
        <f>IF(-SUM(AI95)*B108,-AI95*B108,"")</f>
        <v/>
      </c>
      <c r="AJ108" s="92" t="str">
        <f>IF(-SUM(AJ95)*B108,-AJ95*B108,"")</f>
        <v/>
      </c>
    </row>
    <row r="109" spans="1:37" ht="15" thickBot="1">
      <c r="A109" s="90" t="s">
        <v>86</v>
      </c>
      <c r="B109" s="4"/>
      <c r="C109" s="92" t="str">
        <f>IF(-B109*C92,-B109*C92,"")</f>
        <v/>
      </c>
      <c r="D109" s="92" t="str">
        <f>IF(-B109*D92,-B109*D92,"")</f>
        <v/>
      </c>
      <c r="E109" s="92" t="str">
        <f>IF(-B109*E92,-B109*E92,"")</f>
        <v/>
      </c>
      <c r="F109" s="92" t="str">
        <f>IF(-B109*F92,-B109*F92,"")</f>
        <v/>
      </c>
      <c r="G109" s="92" t="str">
        <f>IF(-B109*G92,-B109*G92,"")</f>
        <v/>
      </c>
      <c r="H109" s="92" t="str">
        <f>IF(-B109*H92,-B109*H92,"")</f>
        <v/>
      </c>
      <c r="I109" s="92" t="str">
        <f>IF(-B109*I92,-B109*I92,"")</f>
        <v/>
      </c>
      <c r="J109" s="92" t="str">
        <f>IF(-B109*J92,-B109*J92,"")</f>
        <v/>
      </c>
      <c r="K109" s="92" t="str">
        <f>IF(-B109*K92,-B109*K92,"")</f>
        <v/>
      </c>
      <c r="L109" s="92" t="str">
        <f>IF(-B109*L92,-B109*L92,"")</f>
        <v/>
      </c>
      <c r="M109" s="92" t="str">
        <f>IF(-B109*M92,-B109*M92,"")</f>
        <v/>
      </c>
      <c r="N109" s="92" t="str">
        <f>IF(-B109*N92,-B109*N92,"")</f>
        <v/>
      </c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</row>
    <row r="110" spans="1:37" ht="18.600000000000001" thickBot="1">
      <c r="B110" s="96" t="s">
        <v>87</v>
      </c>
      <c r="C110" s="98">
        <f>SUM(C93:C94)+SUM(C108:C109)</f>
        <v>0</v>
      </c>
      <c r="D110" s="93">
        <f>SUM(D93:D95)+SUM(D108:D109)</f>
        <v>0</v>
      </c>
      <c r="E110" s="93">
        <f t="shared" ref="E110" si="32">SUM(E93:E95)+SUM(E108:E109)</f>
        <v>0</v>
      </c>
      <c r="F110" s="93">
        <f t="shared" ref="F110" si="33">SUM(F93:F95)+SUM(F108:F109)</f>
        <v>0</v>
      </c>
      <c r="G110" s="93">
        <f t="shared" ref="G110:N110" si="34">SUM(G93:G95)+SUM(G108:G109)</f>
        <v>0</v>
      </c>
      <c r="H110" s="93">
        <f t="shared" si="34"/>
        <v>0</v>
      </c>
      <c r="I110" s="93">
        <f t="shared" si="34"/>
        <v>0</v>
      </c>
      <c r="J110" s="93">
        <f t="shared" si="34"/>
        <v>0</v>
      </c>
      <c r="K110" s="93">
        <f t="shared" si="34"/>
        <v>0</v>
      </c>
      <c r="L110" s="93">
        <f t="shared" si="34"/>
        <v>0</v>
      </c>
      <c r="M110" s="93">
        <f t="shared" si="34"/>
        <v>0</v>
      </c>
      <c r="N110" s="93">
        <f t="shared" si="34"/>
        <v>0</v>
      </c>
      <c r="O110" s="120">
        <f>SUM(O94:O95)+SUM(O108)</f>
        <v>0</v>
      </c>
      <c r="P110" s="120">
        <f t="shared" ref="P110:Y110" si="35">SUM(P94:P95)+SUM(P108)</f>
        <v>0</v>
      </c>
      <c r="Q110" s="120">
        <f t="shared" si="35"/>
        <v>0</v>
      </c>
      <c r="R110" s="120">
        <f t="shared" si="35"/>
        <v>0</v>
      </c>
      <c r="S110" s="120">
        <f t="shared" si="35"/>
        <v>0</v>
      </c>
      <c r="T110" s="120">
        <f t="shared" si="35"/>
        <v>0</v>
      </c>
      <c r="U110" s="120">
        <f t="shared" si="35"/>
        <v>0</v>
      </c>
      <c r="V110" s="120">
        <f t="shared" si="35"/>
        <v>0</v>
      </c>
      <c r="W110" s="120">
        <f t="shared" si="35"/>
        <v>0</v>
      </c>
      <c r="X110" s="120">
        <f t="shared" si="35"/>
        <v>0</v>
      </c>
      <c r="Y110" s="120">
        <f t="shared" si="35"/>
        <v>0</v>
      </c>
      <c r="Z110" s="120">
        <f>SUM(Z95)+SUM(Z108)</f>
        <v>0</v>
      </c>
      <c r="AA110" s="94">
        <f t="shared" ref="AA110:AJ110" si="36">SUM(AA95)+SUM(AA108)</f>
        <v>0</v>
      </c>
      <c r="AB110" s="94">
        <f t="shared" si="36"/>
        <v>0</v>
      </c>
      <c r="AC110" s="94">
        <f t="shared" si="36"/>
        <v>0</v>
      </c>
      <c r="AD110" s="94">
        <f t="shared" si="36"/>
        <v>0</v>
      </c>
      <c r="AE110" s="94">
        <f t="shared" si="36"/>
        <v>0</v>
      </c>
      <c r="AF110" s="94">
        <f t="shared" si="36"/>
        <v>0</v>
      </c>
      <c r="AG110" s="94">
        <f t="shared" si="36"/>
        <v>0</v>
      </c>
      <c r="AH110" s="94">
        <f t="shared" si="36"/>
        <v>0</v>
      </c>
      <c r="AI110" s="94">
        <f t="shared" si="36"/>
        <v>0</v>
      </c>
      <c r="AJ110" s="94">
        <f t="shared" si="36"/>
        <v>0</v>
      </c>
    </row>
    <row r="111" spans="1:37" ht="15" thickBot="1"/>
    <row r="112" spans="1:37" ht="24" thickBot="1">
      <c r="B112" s="101" t="s">
        <v>88</v>
      </c>
      <c r="C112" s="93">
        <f t="shared" ref="C112:AJ112" si="37">C110+C89+C68+C47+C26</f>
        <v>0</v>
      </c>
      <c r="D112" s="93">
        <f t="shared" si="37"/>
        <v>0</v>
      </c>
      <c r="E112" s="93">
        <f t="shared" si="37"/>
        <v>0</v>
      </c>
      <c r="F112" s="93">
        <f t="shared" si="37"/>
        <v>0</v>
      </c>
      <c r="G112" s="93">
        <f t="shared" si="37"/>
        <v>0</v>
      </c>
      <c r="H112" s="93">
        <f t="shared" si="37"/>
        <v>0</v>
      </c>
      <c r="I112" s="93">
        <f t="shared" si="37"/>
        <v>0</v>
      </c>
      <c r="J112" s="93">
        <f t="shared" si="37"/>
        <v>0</v>
      </c>
      <c r="K112" s="93">
        <f t="shared" si="37"/>
        <v>0</v>
      </c>
      <c r="L112" s="93">
        <f t="shared" si="37"/>
        <v>0</v>
      </c>
      <c r="M112" s="93">
        <f t="shared" si="37"/>
        <v>0</v>
      </c>
      <c r="N112" s="93">
        <f t="shared" si="37"/>
        <v>0</v>
      </c>
      <c r="O112" s="118">
        <f t="shared" si="37"/>
        <v>0</v>
      </c>
      <c r="P112" s="118">
        <f t="shared" si="37"/>
        <v>0</v>
      </c>
      <c r="Q112" s="118">
        <f t="shared" si="37"/>
        <v>0</v>
      </c>
      <c r="R112" s="118">
        <f t="shared" si="37"/>
        <v>0</v>
      </c>
      <c r="S112" s="118">
        <f t="shared" si="37"/>
        <v>0</v>
      </c>
      <c r="T112" s="118">
        <f t="shared" si="37"/>
        <v>0</v>
      </c>
      <c r="U112" s="118">
        <f t="shared" si="37"/>
        <v>0</v>
      </c>
      <c r="V112" s="118">
        <f t="shared" si="37"/>
        <v>0</v>
      </c>
      <c r="W112" s="118">
        <f t="shared" si="37"/>
        <v>0</v>
      </c>
      <c r="X112" s="118">
        <f t="shared" si="37"/>
        <v>0</v>
      </c>
      <c r="Y112" s="118">
        <f t="shared" si="37"/>
        <v>0</v>
      </c>
      <c r="Z112" s="118">
        <f t="shared" si="37"/>
        <v>0</v>
      </c>
      <c r="AA112" s="99">
        <f t="shared" si="37"/>
        <v>0</v>
      </c>
      <c r="AB112" s="99">
        <f t="shared" si="37"/>
        <v>0</v>
      </c>
      <c r="AC112" s="99">
        <f t="shared" si="37"/>
        <v>0</v>
      </c>
      <c r="AD112" s="99">
        <f t="shared" si="37"/>
        <v>0</v>
      </c>
      <c r="AE112" s="99">
        <f t="shared" si="37"/>
        <v>0</v>
      </c>
      <c r="AF112" s="99">
        <f t="shared" si="37"/>
        <v>0</v>
      </c>
      <c r="AG112" s="99">
        <f t="shared" si="37"/>
        <v>0</v>
      </c>
      <c r="AH112" s="99">
        <f t="shared" si="37"/>
        <v>0</v>
      </c>
      <c r="AI112" s="99">
        <f t="shared" si="37"/>
        <v>0</v>
      </c>
      <c r="AJ112" s="99">
        <f t="shared" si="37"/>
        <v>0</v>
      </c>
    </row>
    <row r="114" spans="1:14" ht="23.45">
      <c r="A114" s="84" t="s">
        <v>89</v>
      </c>
      <c r="C114" s="85">
        <f>C91</f>
        <v>45292</v>
      </c>
      <c r="D114" s="85">
        <f t="shared" ref="D114:N114" si="38">D91</f>
        <v>45323</v>
      </c>
      <c r="E114" s="85">
        <f t="shared" si="38"/>
        <v>45352</v>
      </c>
      <c r="F114" s="85">
        <f t="shared" si="38"/>
        <v>45383</v>
      </c>
      <c r="G114" s="85">
        <f t="shared" si="38"/>
        <v>45413</v>
      </c>
      <c r="H114" s="85">
        <f t="shared" si="38"/>
        <v>45444</v>
      </c>
      <c r="I114" s="85">
        <f t="shared" si="38"/>
        <v>45474</v>
      </c>
      <c r="J114" s="85">
        <f t="shared" si="38"/>
        <v>45505</v>
      </c>
      <c r="K114" s="85">
        <f t="shared" si="38"/>
        <v>45536</v>
      </c>
      <c r="L114" s="85">
        <f t="shared" si="38"/>
        <v>45566</v>
      </c>
      <c r="M114" s="85">
        <f t="shared" si="38"/>
        <v>45597</v>
      </c>
      <c r="N114" s="85">
        <f t="shared" si="38"/>
        <v>45627</v>
      </c>
    </row>
    <row r="115" spans="1:14">
      <c r="A115" s="58"/>
      <c r="B115" s="59" t="s">
        <v>90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58"/>
      <c r="B116" s="59" t="s">
        <v>91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58"/>
      <c r="B117" s="59" t="s">
        <v>92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58"/>
      <c r="B118" s="59" t="s">
        <v>93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 ht="15" thickBot="1">
      <c r="A119" s="58"/>
      <c r="B119" s="59" t="s">
        <v>94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 ht="24" thickBot="1">
      <c r="B120" s="101" t="s">
        <v>58</v>
      </c>
      <c r="C120" s="93">
        <f>SUM(C115:C119)</f>
        <v>0</v>
      </c>
      <c r="D120" s="102">
        <f t="shared" ref="D120:N120" si="39">SUM(D115:D119)</f>
        <v>0</v>
      </c>
      <c r="E120" s="102">
        <f t="shared" si="39"/>
        <v>0</v>
      </c>
      <c r="F120" s="102">
        <f t="shared" si="39"/>
        <v>0</v>
      </c>
      <c r="G120" s="102">
        <f t="shared" si="39"/>
        <v>0</v>
      </c>
      <c r="H120" s="102">
        <f t="shared" si="39"/>
        <v>0</v>
      </c>
      <c r="I120" s="102">
        <f t="shared" si="39"/>
        <v>0</v>
      </c>
      <c r="J120" s="102">
        <f t="shared" si="39"/>
        <v>0</v>
      </c>
      <c r="K120" s="102">
        <f t="shared" si="39"/>
        <v>0</v>
      </c>
      <c r="L120" s="102">
        <f t="shared" si="39"/>
        <v>0</v>
      </c>
      <c r="M120" s="102">
        <f t="shared" si="39"/>
        <v>0</v>
      </c>
      <c r="N120" s="103">
        <f t="shared" si="39"/>
        <v>0</v>
      </c>
    </row>
    <row r="122" spans="1:14" ht="23.45">
      <c r="A122" s="84" t="s">
        <v>95</v>
      </c>
      <c r="C122" s="85">
        <f>C114</f>
        <v>45292</v>
      </c>
      <c r="D122" s="85">
        <f t="shared" ref="D122:N122" si="40">D114</f>
        <v>45323</v>
      </c>
      <c r="E122" s="85">
        <f t="shared" si="40"/>
        <v>45352</v>
      </c>
      <c r="F122" s="85">
        <f t="shared" si="40"/>
        <v>45383</v>
      </c>
      <c r="G122" s="85">
        <f t="shared" si="40"/>
        <v>45413</v>
      </c>
      <c r="H122" s="85">
        <f t="shared" si="40"/>
        <v>45444</v>
      </c>
      <c r="I122" s="85">
        <f t="shared" si="40"/>
        <v>45474</v>
      </c>
      <c r="J122" s="85">
        <f t="shared" si="40"/>
        <v>45505</v>
      </c>
      <c r="K122" s="85">
        <f t="shared" si="40"/>
        <v>45536</v>
      </c>
      <c r="L122" s="85">
        <f t="shared" si="40"/>
        <v>45566</v>
      </c>
      <c r="M122" s="85">
        <f t="shared" si="40"/>
        <v>45597</v>
      </c>
      <c r="N122" s="85">
        <f t="shared" si="40"/>
        <v>45627</v>
      </c>
    </row>
    <row r="123" spans="1:14">
      <c r="A123" s="58"/>
      <c r="B123" s="59" t="s">
        <v>90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58"/>
      <c r="B124" s="59" t="s">
        <v>91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58"/>
      <c r="B125" s="59" t="s">
        <v>92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58"/>
      <c r="B126" s="59" t="s">
        <v>93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 ht="15" thickBot="1">
      <c r="A127" s="58"/>
      <c r="B127" s="59" t="s">
        <v>94</v>
      </c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 ht="24" thickBot="1">
      <c r="B128" s="101" t="s">
        <v>58</v>
      </c>
      <c r="C128" s="93">
        <f t="shared" ref="C128:N128" si="41">SUM(C123:C127)</f>
        <v>0</v>
      </c>
      <c r="D128" s="102">
        <f t="shared" si="41"/>
        <v>0</v>
      </c>
      <c r="E128" s="102">
        <f t="shared" si="41"/>
        <v>0</v>
      </c>
      <c r="F128" s="102">
        <f t="shared" si="41"/>
        <v>0</v>
      </c>
      <c r="G128" s="102">
        <f t="shared" si="41"/>
        <v>0</v>
      </c>
      <c r="H128" s="102">
        <f t="shared" si="41"/>
        <v>0</v>
      </c>
      <c r="I128" s="102">
        <f t="shared" si="41"/>
        <v>0</v>
      </c>
      <c r="J128" s="102">
        <f t="shared" si="41"/>
        <v>0</v>
      </c>
      <c r="K128" s="102">
        <f t="shared" si="41"/>
        <v>0</v>
      </c>
      <c r="L128" s="102">
        <f t="shared" si="41"/>
        <v>0</v>
      </c>
      <c r="M128" s="102">
        <f t="shared" si="41"/>
        <v>0</v>
      </c>
      <c r="N128" s="103">
        <f t="shared" si="41"/>
        <v>0</v>
      </c>
    </row>
    <row r="130" spans="1:14" ht="15" thickBot="1">
      <c r="C130" s="85">
        <f>C122</f>
        <v>45292</v>
      </c>
      <c r="D130" s="85">
        <f t="shared" ref="D130:N130" si="42">D122</f>
        <v>45323</v>
      </c>
      <c r="E130" s="85">
        <f t="shared" si="42"/>
        <v>45352</v>
      </c>
      <c r="F130" s="85">
        <f t="shared" si="42"/>
        <v>45383</v>
      </c>
      <c r="G130" s="85">
        <f t="shared" si="42"/>
        <v>45413</v>
      </c>
      <c r="H130" s="85">
        <f t="shared" si="42"/>
        <v>45444</v>
      </c>
      <c r="I130" s="85">
        <f t="shared" si="42"/>
        <v>45474</v>
      </c>
      <c r="J130" s="85">
        <f t="shared" si="42"/>
        <v>45505</v>
      </c>
      <c r="K130" s="85">
        <f t="shared" si="42"/>
        <v>45536</v>
      </c>
      <c r="L130" s="85">
        <f t="shared" si="42"/>
        <v>45566</v>
      </c>
      <c r="M130" s="85">
        <f t="shared" si="42"/>
        <v>45597</v>
      </c>
      <c r="N130" s="85">
        <f t="shared" si="42"/>
        <v>45627</v>
      </c>
    </row>
    <row r="131" spans="1:14" ht="29.45" thickBot="1">
      <c r="B131" s="104" t="s">
        <v>98</v>
      </c>
      <c r="C131" s="93">
        <f>C112+C120+C128+C3</f>
        <v>2399.4</v>
      </c>
      <c r="D131" s="93">
        <f t="shared" ref="D131:N131" si="43">D112+D120+D128+D3</f>
        <v>1599.6000000000001</v>
      </c>
      <c r="E131" s="93">
        <f t="shared" si="43"/>
        <v>799.80000000000007</v>
      </c>
      <c r="F131" s="93">
        <f t="shared" si="43"/>
        <v>0</v>
      </c>
      <c r="G131" s="93">
        <f t="shared" si="43"/>
        <v>0</v>
      </c>
      <c r="H131" s="93">
        <f t="shared" si="43"/>
        <v>0</v>
      </c>
      <c r="I131" s="93">
        <f t="shared" si="43"/>
        <v>0</v>
      </c>
      <c r="J131" s="93">
        <f t="shared" si="43"/>
        <v>0</v>
      </c>
      <c r="K131" s="93">
        <f t="shared" si="43"/>
        <v>0</v>
      </c>
      <c r="L131" s="93">
        <f t="shared" si="43"/>
        <v>0</v>
      </c>
      <c r="M131" s="93">
        <f t="shared" si="43"/>
        <v>0</v>
      </c>
      <c r="N131" s="93">
        <f t="shared" si="43"/>
        <v>0</v>
      </c>
    </row>
    <row r="132" spans="1:14" ht="34.15" thickBot="1">
      <c r="A132" s="83" t="s">
        <v>99</v>
      </c>
      <c r="C132" s="85">
        <f>C130</f>
        <v>45292</v>
      </c>
      <c r="D132" s="85">
        <f t="shared" ref="D132:N132" si="44">D130</f>
        <v>45323</v>
      </c>
      <c r="E132" s="85">
        <f t="shared" si="44"/>
        <v>45352</v>
      </c>
      <c r="F132" s="85">
        <f t="shared" si="44"/>
        <v>45383</v>
      </c>
      <c r="G132" s="85">
        <f t="shared" si="44"/>
        <v>45413</v>
      </c>
      <c r="H132" s="85">
        <f t="shared" si="44"/>
        <v>45444</v>
      </c>
      <c r="I132" s="85">
        <f t="shared" si="44"/>
        <v>45474</v>
      </c>
      <c r="J132" s="85">
        <f t="shared" si="44"/>
        <v>45505</v>
      </c>
      <c r="K132" s="85">
        <f t="shared" si="44"/>
        <v>45536</v>
      </c>
      <c r="L132" s="85">
        <f t="shared" si="44"/>
        <v>45566</v>
      </c>
      <c r="M132" s="85">
        <f t="shared" si="44"/>
        <v>45597</v>
      </c>
      <c r="N132" s="85">
        <f t="shared" si="44"/>
        <v>45627</v>
      </c>
    </row>
    <row r="133" spans="1:14" ht="15" thickBot="1">
      <c r="A133" s="105" t="str">
        <f>'Pro Forma'!A17</f>
        <v>Include investments</v>
      </c>
      <c r="B133" s="106" t="str">
        <f>'Pro Forma'!B17</f>
        <v>Yes</v>
      </c>
      <c r="C133" s="93">
        <f>IF(B133="Yes",C131*'Pro Forma'!D16,(C131-C128)*'Pro Forma'!D16)</f>
        <v>95.975999999999999</v>
      </c>
      <c r="D133" s="102">
        <f>IF(B133="Yes",D131*'Pro Forma'!D16,(D131-D128)*'Pro Forma'!D16)</f>
        <v>63.984000000000009</v>
      </c>
      <c r="E133" s="102">
        <f>IF(B133="Yes",E131*'Pro Forma'!D16,(E131-C128)*'Pro Forma'!D16)</f>
        <v>31.992000000000004</v>
      </c>
      <c r="F133" s="102">
        <f>IF(B133="Yes",F131*'Pro Forma'!D16,(F131-C128)*'Pro Forma'!D16)</f>
        <v>0</v>
      </c>
      <c r="G133" s="102">
        <f>IF(B133="Yes",G131*'Pro Forma'!D16,(G131-C128)*'Pro Forma'!D16)</f>
        <v>0</v>
      </c>
      <c r="H133" s="102">
        <f>IF(B133="Yes",H131*'Pro Forma'!D16,(H131-C128)*'Pro Forma'!D16)</f>
        <v>0</v>
      </c>
      <c r="I133" s="102">
        <f>IF(B133="Yes",I131*'Pro Forma'!D16,(I131-C128)*'Pro Forma'!D16)</f>
        <v>0</v>
      </c>
      <c r="J133" s="102">
        <f>IF(B133="Yes",J131*'Pro Forma'!D16,(J131-C128)*'Pro Forma'!D16)</f>
        <v>0</v>
      </c>
      <c r="K133" s="102">
        <f>IF(B133="Yes",K131*'Pro Forma'!D16,(K131-C128)*'Pro Forma'!D16)</f>
        <v>0</v>
      </c>
      <c r="L133" s="102">
        <f>IF(B133="Yes",L131*'Pro Forma'!D16,(L131-C128)*'Pro Forma'!D16)</f>
        <v>0</v>
      </c>
      <c r="M133" s="102">
        <f>IF(B133="Yes",M131*'Pro Forma'!D16,(M131-C128)*'Pro Forma'!D16)</f>
        <v>0</v>
      </c>
      <c r="N133" s="103">
        <f>IF(B133="Yes",M131*'Pro Forma'!D16,(N131-C128)*'Pro Forma'!D16)</f>
        <v>0</v>
      </c>
    </row>
    <row r="134" spans="1:14">
      <c r="A134" s="81"/>
      <c r="B134" s="82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ht="15" thickBot="1">
      <c r="C135" s="85">
        <f>C132</f>
        <v>45292</v>
      </c>
      <c r="D135" s="85">
        <f t="shared" ref="D135:N135" si="45">D132</f>
        <v>45323</v>
      </c>
      <c r="E135" s="85">
        <f t="shared" si="45"/>
        <v>45352</v>
      </c>
      <c r="F135" s="85">
        <f t="shared" si="45"/>
        <v>45383</v>
      </c>
      <c r="G135" s="85">
        <f t="shared" si="45"/>
        <v>45413</v>
      </c>
      <c r="H135" s="85">
        <f t="shared" si="45"/>
        <v>45444</v>
      </c>
      <c r="I135" s="85">
        <f t="shared" si="45"/>
        <v>45474</v>
      </c>
      <c r="J135" s="85">
        <f t="shared" si="45"/>
        <v>45505</v>
      </c>
      <c r="K135" s="85">
        <f t="shared" si="45"/>
        <v>45536</v>
      </c>
      <c r="L135" s="85">
        <f t="shared" si="45"/>
        <v>45566</v>
      </c>
      <c r="M135" s="85">
        <f t="shared" si="45"/>
        <v>45597</v>
      </c>
      <c r="N135" s="85">
        <f t="shared" si="45"/>
        <v>45627</v>
      </c>
    </row>
    <row r="136" spans="1:14" ht="34.15" thickBot="1">
      <c r="A136" s="107" t="s">
        <v>100</v>
      </c>
      <c r="B136" s="108">
        <f ca="1">'Year 1'!N133</f>
        <v>117774.20870142855</v>
      </c>
      <c r="C136" s="108">
        <f ca="1">IF(B137 = "No",B136+C131-C172-C139- C181,B136+C131-C133-C139)</f>
        <v>110111.64631520405</v>
      </c>
      <c r="D136" s="108">
        <f t="shared" ref="D136:N136" ca="1" si="46">IF(C137 = "No",C136+D131-D172-D139- D181,C136+D131-D133-D139)</f>
        <v>101681.27592897956</v>
      </c>
      <c r="E136" s="108">
        <f t="shared" ca="1" si="46"/>
        <v>92483.097542755073</v>
      </c>
      <c r="F136" s="108">
        <f t="shared" ca="1" si="46"/>
        <v>82517.111156530576</v>
      </c>
      <c r="G136" s="108">
        <f t="shared" ca="1" si="46"/>
        <v>72551.12477030608</v>
      </c>
      <c r="H136" s="108">
        <f t="shared" ca="1" si="46"/>
        <v>62585.138384081591</v>
      </c>
      <c r="I136" s="108">
        <f t="shared" ca="1" si="46"/>
        <v>52619.151997857101</v>
      </c>
      <c r="J136" s="108">
        <f t="shared" ca="1" si="46"/>
        <v>42653.165611632612</v>
      </c>
      <c r="K136" s="108">
        <f t="shared" ca="1" si="46"/>
        <v>32687.179225408123</v>
      </c>
      <c r="L136" s="108">
        <f t="shared" ca="1" si="46"/>
        <v>22721.192839183634</v>
      </c>
      <c r="M136" s="108">
        <f t="shared" ca="1" si="46"/>
        <v>12755.206452959143</v>
      </c>
      <c r="N136" s="108">
        <f t="shared" ca="1" si="46"/>
        <v>2983.5835264042344</v>
      </c>
    </row>
    <row r="137" spans="1:14">
      <c r="A137" s="90" t="str">
        <f>'Pro Forma'!A25</f>
        <v>Exclude  Depreciation</v>
      </c>
      <c r="B137" s="106" t="str">
        <f>'Pro Forma'!A26</f>
        <v>Yes</v>
      </c>
      <c r="C137" s="12"/>
    </row>
    <row r="138" spans="1:14" ht="34.15" thickBot="1">
      <c r="A138" s="83" t="s">
        <v>65</v>
      </c>
      <c r="C138" s="85">
        <f t="shared" ref="C138:N138" si="47">C130</f>
        <v>45292</v>
      </c>
      <c r="D138" s="85">
        <f t="shared" si="47"/>
        <v>45323</v>
      </c>
      <c r="E138" s="85">
        <f t="shared" si="47"/>
        <v>45352</v>
      </c>
      <c r="F138" s="85">
        <f t="shared" si="47"/>
        <v>45383</v>
      </c>
      <c r="G138" s="85">
        <f t="shared" si="47"/>
        <v>45413</v>
      </c>
      <c r="H138" s="85">
        <f t="shared" si="47"/>
        <v>45444</v>
      </c>
      <c r="I138" s="85">
        <f t="shared" si="47"/>
        <v>45474</v>
      </c>
      <c r="J138" s="85">
        <f t="shared" si="47"/>
        <v>45505</v>
      </c>
      <c r="K138" s="85">
        <f t="shared" si="47"/>
        <v>45536</v>
      </c>
      <c r="L138" s="85">
        <f t="shared" si="47"/>
        <v>45566</v>
      </c>
      <c r="M138" s="85">
        <f t="shared" si="47"/>
        <v>45597</v>
      </c>
      <c r="N138" s="85">
        <f t="shared" si="47"/>
        <v>45627</v>
      </c>
    </row>
    <row r="139" spans="1:14" ht="29.45" thickBot="1">
      <c r="B139" s="104" t="s">
        <v>101</v>
      </c>
      <c r="C139" s="93">
        <f ca="1">C141+C150+C168+C173+C184+C191+C200+C204+C212+C236+C243+C259+C272+C285+C304</f>
        <v>9965.9863862244911</v>
      </c>
      <c r="D139" s="93">
        <f t="shared" ref="D139:N139" ca="1" si="48">D141+D150+D168+D173+D184+D191+D200+D204+D212+D236+D243+D259+D272+D285+D304</f>
        <v>9965.9863862244911</v>
      </c>
      <c r="E139" s="93">
        <f t="shared" ca="1" si="48"/>
        <v>9965.9863862244911</v>
      </c>
      <c r="F139" s="93">
        <f t="shared" ca="1" si="48"/>
        <v>9965.9863862244911</v>
      </c>
      <c r="G139" s="93">
        <f t="shared" ca="1" si="48"/>
        <v>9965.9863862244911</v>
      </c>
      <c r="H139" s="93">
        <f t="shared" ca="1" si="48"/>
        <v>9965.9863862244911</v>
      </c>
      <c r="I139" s="93">
        <f t="shared" ca="1" si="48"/>
        <v>9965.9863862244911</v>
      </c>
      <c r="J139" s="93">
        <f t="shared" ca="1" si="48"/>
        <v>9965.9863862244911</v>
      </c>
      <c r="K139" s="93">
        <f t="shared" ca="1" si="48"/>
        <v>9965.9863862244911</v>
      </c>
      <c r="L139" s="93">
        <f t="shared" ca="1" si="48"/>
        <v>9965.9863862244911</v>
      </c>
      <c r="M139" s="93">
        <f t="shared" ca="1" si="48"/>
        <v>9965.9863862244911</v>
      </c>
      <c r="N139" s="93">
        <f t="shared" ca="1" si="48"/>
        <v>9771.6229265549082</v>
      </c>
    </row>
    <row r="140" spans="1:14" ht="15" thickBot="1"/>
    <row r="141" spans="1:14" ht="24" thickBot="1">
      <c r="A141" s="84" t="s">
        <v>47</v>
      </c>
      <c r="B141" s="90" t="s">
        <v>102</v>
      </c>
      <c r="C141" s="93">
        <f>'Pro Forma'!D13/12</f>
        <v>8333.3333250000014</v>
      </c>
      <c r="D141" s="102">
        <f>'Pro Forma'!D13/12</f>
        <v>8333.3333250000014</v>
      </c>
      <c r="E141" s="102">
        <f>'Pro Forma'!D13/12</f>
        <v>8333.3333250000014</v>
      </c>
      <c r="F141" s="102">
        <f>'Pro Forma'!D13/12</f>
        <v>8333.3333250000014</v>
      </c>
      <c r="G141" s="102">
        <f>'Pro Forma'!D13/12</f>
        <v>8333.3333250000014</v>
      </c>
      <c r="H141" s="102">
        <f>'Pro Forma'!D13/12</f>
        <v>8333.3333250000014</v>
      </c>
      <c r="I141" s="102">
        <f>'Pro Forma'!D13/12</f>
        <v>8333.3333250000014</v>
      </c>
      <c r="J141" s="102">
        <f>'Pro Forma'!D13/12</f>
        <v>8333.3333250000014</v>
      </c>
      <c r="K141" s="102">
        <f>'Pro Forma'!D13/12</f>
        <v>8333.3333250000014</v>
      </c>
      <c r="L141" s="102">
        <f>'Pro Forma'!D13/12</f>
        <v>8333.3333250000014</v>
      </c>
      <c r="M141" s="102">
        <f>'Pro Forma'!D13/12</f>
        <v>8333.3333250000014</v>
      </c>
      <c r="N141" s="103">
        <f>'Pro Forma'!D13/12</f>
        <v>8333.3333250000014</v>
      </c>
    </row>
    <row r="144" spans="1:14" ht="24" thickBot="1">
      <c r="A144" s="84" t="s">
        <v>103</v>
      </c>
      <c r="B144" s="109" t="s">
        <v>104</v>
      </c>
    </row>
    <row r="145" spans="1:14" ht="15" thickBot="1">
      <c r="A145" s="90" t="str">
        <f>A7</f>
        <v>Kilter Tilter - Consumer Version</v>
      </c>
      <c r="B145" s="48"/>
      <c r="C145" s="110">
        <f>C26*B145</f>
        <v>0</v>
      </c>
      <c r="D145" s="110">
        <f>D26*B145</f>
        <v>0</v>
      </c>
      <c r="E145" s="110">
        <f>E26*B145</f>
        <v>0</v>
      </c>
      <c r="F145" s="110">
        <f>F26*B145</f>
        <v>0</v>
      </c>
      <c r="G145" s="110">
        <f>G26*B145</f>
        <v>0</v>
      </c>
      <c r="H145" s="110">
        <f>H26*B145</f>
        <v>0</v>
      </c>
      <c r="I145" s="110">
        <f>I26*B145</f>
        <v>0</v>
      </c>
      <c r="J145" s="110">
        <f>J26*B145</f>
        <v>0</v>
      </c>
      <c r="K145" s="110">
        <f>K26*B145</f>
        <v>0</v>
      </c>
      <c r="L145" s="110">
        <f>L26*B145</f>
        <v>0</v>
      </c>
      <c r="M145" s="110">
        <f>M26*B145</f>
        <v>0</v>
      </c>
      <c r="N145" s="110">
        <f>N26*B145</f>
        <v>0</v>
      </c>
    </row>
    <row r="146" spans="1:14" ht="15" thickBot="1">
      <c r="A146" s="90" t="str">
        <f>A28</f>
        <v>Kilter Tilter -Therapy Version</v>
      </c>
      <c r="B146" s="48"/>
      <c r="C146" s="110">
        <f>C47*B146</f>
        <v>0</v>
      </c>
      <c r="D146" s="110">
        <f>D47*B146</f>
        <v>0</v>
      </c>
      <c r="E146" s="110">
        <f>E47*B146</f>
        <v>0</v>
      </c>
      <c r="F146" s="110">
        <f>F47*B146</f>
        <v>0</v>
      </c>
      <c r="G146" s="110">
        <f>G47*B146</f>
        <v>0</v>
      </c>
      <c r="H146" s="110">
        <f>H47*B146</f>
        <v>0</v>
      </c>
      <c r="I146" s="110">
        <f>I47*B146</f>
        <v>0</v>
      </c>
      <c r="J146" s="110">
        <f>J47*B146</f>
        <v>0</v>
      </c>
      <c r="K146" s="110">
        <f>K47*B146</f>
        <v>0</v>
      </c>
      <c r="L146" s="110">
        <f>L47*B146</f>
        <v>0</v>
      </c>
      <c r="M146" s="110">
        <f>M47*B146</f>
        <v>0</v>
      </c>
      <c r="N146" s="110">
        <f>N47*B146</f>
        <v>0</v>
      </c>
    </row>
    <row r="147" spans="1:14" ht="15" thickBot="1">
      <c r="A147" s="90" t="str">
        <f>A49</f>
        <v>Kilter Roller</v>
      </c>
      <c r="B147" s="48"/>
      <c r="C147" s="110">
        <f>C68*B147</f>
        <v>0</v>
      </c>
      <c r="D147" s="110">
        <f>D68*B147</f>
        <v>0</v>
      </c>
      <c r="E147" s="110">
        <f>E68*B147</f>
        <v>0</v>
      </c>
      <c r="F147" s="110">
        <f>F68*B147</f>
        <v>0</v>
      </c>
      <c r="G147" s="110">
        <f>G68*B147</f>
        <v>0</v>
      </c>
      <c r="H147" s="110">
        <f>H68*B147</f>
        <v>0</v>
      </c>
      <c r="I147" s="110">
        <f>I68*B147</f>
        <v>0</v>
      </c>
      <c r="J147" s="110">
        <f>J68*B147</f>
        <v>0</v>
      </c>
      <c r="K147" s="110">
        <f>K68*B147</f>
        <v>0</v>
      </c>
      <c r="L147" s="110">
        <f>L68*B147</f>
        <v>0</v>
      </c>
      <c r="M147" s="110">
        <f>M68*B147</f>
        <v>0</v>
      </c>
      <c r="N147" s="110">
        <f>N68*B147</f>
        <v>0</v>
      </c>
    </row>
    <row r="148" spans="1:14" ht="15" thickBot="1">
      <c r="A148" s="90" t="str">
        <f>A70</f>
        <v xml:space="preserve">    ---    </v>
      </c>
      <c r="B148" s="48"/>
      <c r="C148" s="110">
        <f>C89*B148</f>
        <v>0</v>
      </c>
      <c r="D148" s="110">
        <f>D89*B148</f>
        <v>0</v>
      </c>
      <c r="E148" s="110">
        <f>E89*B148</f>
        <v>0</v>
      </c>
      <c r="F148" s="110">
        <f>F89*B148</f>
        <v>0</v>
      </c>
      <c r="G148" s="110">
        <f>G89*B148</f>
        <v>0</v>
      </c>
      <c r="H148" s="110">
        <f>H89*B148</f>
        <v>0</v>
      </c>
      <c r="I148" s="110">
        <f>I89*B148</f>
        <v>0</v>
      </c>
      <c r="J148" s="110">
        <f>J89*B148</f>
        <v>0</v>
      </c>
      <c r="K148" s="110">
        <f>K89*B148</f>
        <v>0</v>
      </c>
      <c r="L148" s="110">
        <f>L89*B148</f>
        <v>0</v>
      </c>
      <c r="M148" s="110">
        <f>M89*B148</f>
        <v>0</v>
      </c>
      <c r="N148" s="110">
        <f>N89*B148</f>
        <v>0</v>
      </c>
    </row>
    <row r="149" spans="1:14" ht="15" thickBot="1">
      <c r="A149" s="90" t="str">
        <f>A91</f>
        <v xml:space="preserve">    ---    </v>
      </c>
      <c r="B149" s="48"/>
      <c r="C149" s="110">
        <f>C110*B149</f>
        <v>0</v>
      </c>
      <c r="D149" s="110">
        <f>D110*B149</f>
        <v>0</v>
      </c>
      <c r="E149" s="110">
        <f>E110*B149</f>
        <v>0</v>
      </c>
      <c r="F149" s="110">
        <f>F110*B149</f>
        <v>0</v>
      </c>
      <c r="G149" s="110">
        <f>G110*B149</f>
        <v>0</v>
      </c>
      <c r="H149" s="110">
        <f>H110*B149</f>
        <v>0</v>
      </c>
      <c r="I149" s="110">
        <f>I110*B149</f>
        <v>0</v>
      </c>
      <c r="J149" s="110">
        <f>J110*B149</f>
        <v>0</v>
      </c>
      <c r="K149" s="110">
        <f>K110*B149</f>
        <v>0</v>
      </c>
      <c r="L149" s="110">
        <f>L110*B149</f>
        <v>0</v>
      </c>
      <c r="M149" s="110">
        <f>M110*B149</f>
        <v>0</v>
      </c>
      <c r="N149" s="110">
        <f>N110*B149</f>
        <v>0</v>
      </c>
    </row>
    <row r="150" spans="1:14" ht="24" thickBot="1">
      <c r="A150" s="6"/>
      <c r="B150" s="101" t="s">
        <v>58</v>
      </c>
      <c r="C150" s="93">
        <f>SUM(C145:C149)</f>
        <v>0</v>
      </c>
      <c r="D150" s="93">
        <f t="shared" ref="D150:N150" si="49">SUM(D145:D149)</f>
        <v>0</v>
      </c>
      <c r="E150" s="93">
        <f t="shared" si="49"/>
        <v>0</v>
      </c>
      <c r="F150" s="93">
        <f t="shared" si="49"/>
        <v>0</v>
      </c>
      <c r="G150" s="93">
        <f t="shared" si="49"/>
        <v>0</v>
      </c>
      <c r="H150" s="93">
        <f t="shared" si="49"/>
        <v>0</v>
      </c>
      <c r="I150" s="93">
        <f t="shared" si="49"/>
        <v>0</v>
      </c>
      <c r="J150" s="93">
        <f t="shared" si="49"/>
        <v>0</v>
      </c>
      <c r="K150" s="93">
        <f t="shared" si="49"/>
        <v>0</v>
      </c>
      <c r="L150" s="93">
        <f t="shared" si="49"/>
        <v>0</v>
      </c>
      <c r="M150" s="93">
        <f t="shared" si="49"/>
        <v>0</v>
      </c>
      <c r="N150" s="93">
        <f t="shared" si="49"/>
        <v>0</v>
      </c>
    </row>
    <row r="151" spans="1:14">
      <c r="A151" s="6"/>
      <c r="B151" s="6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</row>
    <row r="152" spans="1:14" ht="23.45">
      <c r="A152" s="84" t="s">
        <v>105</v>
      </c>
    </row>
    <row r="153" spans="1:14">
      <c r="A153"/>
      <c r="B153" s="90" t="s">
        <v>106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/>
      <c r="B154" s="90" t="s">
        <v>107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/>
      <c r="B155" s="90" t="s">
        <v>108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/>
      <c r="B156" s="90" t="s">
        <v>109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/>
      <c r="B157" s="90" t="s">
        <v>110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/>
      <c r="B158" s="90" t="s">
        <v>111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/>
      <c r="B159" s="90" t="s">
        <v>112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/>
      <c r="B160" s="90" t="s">
        <v>113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/>
      <c r="B161" s="90" t="s">
        <v>114</v>
      </c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 ht="14.25" customHeight="1">
      <c r="A162"/>
      <c r="B162" s="90" t="s">
        <v>115</v>
      </c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/>
      <c r="B163" s="90" t="s">
        <v>116</v>
      </c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/>
      <c r="B164" s="90" t="s">
        <v>117</v>
      </c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/>
      <c r="B165" s="90" t="s">
        <v>118</v>
      </c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/>
      <c r="B166" s="90" t="s">
        <v>119</v>
      </c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 ht="15" thickBot="1">
      <c r="B167" s="90" t="s">
        <v>120</v>
      </c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 ht="24" thickBot="1">
      <c r="B168" s="101" t="s">
        <v>58</v>
      </c>
      <c r="C168" s="93">
        <f>SUM(C153:C167)</f>
        <v>0</v>
      </c>
      <c r="D168" s="93">
        <f t="shared" ref="D168:N168" si="50">SUM(D153:D167)</f>
        <v>0</v>
      </c>
      <c r="E168" s="93">
        <f t="shared" si="50"/>
        <v>0</v>
      </c>
      <c r="F168" s="93">
        <f t="shared" si="50"/>
        <v>0</v>
      </c>
      <c r="G168" s="93">
        <f t="shared" si="50"/>
        <v>0</v>
      </c>
      <c r="H168" s="93">
        <f t="shared" si="50"/>
        <v>0</v>
      </c>
      <c r="I168" s="93">
        <f t="shared" si="50"/>
        <v>0</v>
      </c>
      <c r="J168" s="93">
        <f t="shared" si="50"/>
        <v>0</v>
      </c>
      <c r="K168" s="93">
        <f t="shared" si="50"/>
        <v>0</v>
      </c>
      <c r="L168" s="93">
        <f t="shared" si="50"/>
        <v>0</v>
      </c>
      <c r="M168" s="93">
        <f t="shared" si="50"/>
        <v>0</v>
      </c>
      <c r="N168" s="93">
        <f t="shared" si="50"/>
        <v>0</v>
      </c>
    </row>
    <row r="169" spans="1:14">
      <c r="A169"/>
      <c r="B16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</row>
    <row r="170" spans="1:14" ht="23.45">
      <c r="A170" s="84" t="s">
        <v>121</v>
      </c>
      <c r="B17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</row>
    <row r="171" spans="1:14">
      <c r="A171" s="42" t="s">
        <v>122</v>
      </c>
      <c r="B171" s="90" t="s">
        <v>123</v>
      </c>
      <c r="C171" s="50">
        <f>SUMIFS(Depreciation!D5:D14,Depreciation!A5:A14,"&lt;&gt;(Owned)*",Depreciation!C5:C14,C7)</f>
        <v>0</v>
      </c>
      <c r="D171" s="50">
        <f>SUMIFS(Depreciation!D5:D14,Depreciation!A5:A14,"&lt;&gt;(Owned)*",Depreciation!C5:C14,D7)</f>
        <v>0</v>
      </c>
      <c r="E171" s="50">
        <f>SUMIFS(Depreciation!D5:D14,Depreciation!A5:A14,"&lt;&gt;(Owned)*",Depreciation!C5:C14,E7)</f>
        <v>0</v>
      </c>
      <c r="F171" s="50">
        <f>SUMIFS(Depreciation!D5:D14,Depreciation!A5:A14,"&lt;&gt;(Owned)*",Depreciation!C5:C14,F7)</f>
        <v>0</v>
      </c>
      <c r="G171" s="50">
        <f>SUMIFS(Depreciation!D5:D14,Depreciation!A5:A14,"&lt;&gt;(Owned)*",Depreciation!C5:C14,G7)</f>
        <v>0</v>
      </c>
      <c r="H171" s="50">
        <f>SUMIFS(Depreciation!D5:D14,Depreciation!A5:A14,"&lt;&gt;(Owned)*",Depreciation!C5:C14,H7)</f>
        <v>0</v>
      </c>
      <c r="I171" s="50">
        <f>SUMIFS(Depreciation!D5:D14,Depreciation!A5:A14,"&lt;&gt;(Owned)*",Depreciation!C5:C14,I7)</f>
        <v>0</v>
      </c>
      <c r="J171" s="50">
        <f>SUMIFS(Depreciation!D5:D14,Depreciation!A5:A14,"&lt;&gt;(Owned)*",Depreciation!C5:C14,J7)</f>
        <v>0</v>
      </c>
      <c r="K171" s="50">
        <f>SUMIFS(Depreciation!D5:D14,Depreciation!A5:A14,"&lt;&gt;(Owned)*",Depreciation!C5:C14,K7)</f>
        <v>0</v>
      </c>
      <c r="L171" s="50">
        <f>SUMIFS(Depreciation!D5:D14,Depreciation!A5:A14,"&lt;&gt;(Owned)*",Depreciation!C5:C14,L7)</f>
        <v>0</v>
      </c>
      <c r="M171" s="50">
        <f>SUMIFS(Depreciation!D5:D14,Depreciation!A5:A14,"&lt;&gt;(Owned)*",Depreciation!C5:C14,M7)</f>
        <v>0</v>
      </c>
      <c r="N171" s="50">
        <f>SUMIFS(Depreciation!D5:D14,Depreciation!A5:A14,"&lt;&gt;(Owned)*",Depreciation!C5:C14,N7)</f>
        <v>0</v>
      </c>
    </row>
    <row r="172" spans="1:14" ht="15" thickBot="1">
      <c r="A172"/>
      <c r="B172" s="90" t="s">
        <v>124</v>
      </c>
      <c r="C172" s="50">
        <f ca="1">SUM(Depreciation!V2:V11)</f>
        <v>680.27210884353747</v>
      </c>
      <c r="D172" s="50">
        <f ca="1">SUM(Depreciation!W2:W11)</f>
        <v>680.27210884353747</v>
      </c>
      <c r="E172" s="50">
        <f ca="1">SUM(Depreciation!X2:X11)</f>
        <v>680.27210884353747</v>
      </c>
      <c r="F172" s="50">
        <f ca="1">SUM(Depreciation!Y2:Y11)</f>
        <v>680.27210884353747</v>
      </c>
      <c r="G172" s="50">
        <f ca="1">SUM(Depreciation!Z2:Z11)</f>
        <v>680.27210884353747</v>
      </c>
      <c r="H172" s="50">
        <f ca="1">SUM(Depreciation!AA2:AA11)</f>
        <v>680.27210884353747</v>
      </c>
      <c r="I172" s="50">
        <f ca="1">SUM(Depreciation!AB2:AB11)</f>
        <v>680.27210884353747</v>
      </c>
      <c r="J172" s="50">
        <f ca="1">SUM(Depreciation!AC2:AC11)</f>
        <v>680.27210884353747</v>
      </c>
      <c r="K172" s="50">
        <f ca="1">SUM(Depreciation!AD2:AD11)</f>
        <v>680.27210884353747</v>
      </c>
      <c r="L172" s="50">
        <f ca="1">SUM(Depreciation!AE2:AE11)</f>
        <v>680.27210884353747</v>
      </c>
      <c r="M172" s="50">
        <f ca="1">SUM(Depreciation!AF2:AF11)</f>
        <v>680.27210884353747</v>
      </c>
      <c r="N172" s="50">
        <f ca="1">SUM(Depreciation!AG2:AG11)</f>
        <v>485.90864917395533</v>
      </c>
    </row>
    <row r="173" spans="1:14" ht="24" thickBot="1">
      <c r="A173"/>
      <c r="B173" s="101" t="s">
        <v>58</v>
      </c>
      <c r="C173" s="93">
        <f t="shared" ref="C173:N173" ca="1" si="51">SUM(C171:C172)</f>
        <v>680.27210884353747</v>
      </c>
      <c r="D173" s="93">
        <f t="shared" ca="1" si="51"/>
        <v>680.27210884353747</v>
      </c>
      <c r="E173" s="93">
        <f t="shared" ca="1" si="51"/>
        <v>680.27210884353747</v>
      </c>
      <c r="F173" s="93">
        <f t="shared" ca="1" si="51"/>
        <v>680.27210884353747</v>
      </c>
      <c r="G173" s="93">
        <f t="shared" ca="1" si="51"/>
        <v>680.27210884353747</v>
      </c>
      <c r="H173" s="93">
        <f t="shared" ca="1" si="51"/>
        <v>680.27210884353747</v>
      </c>
      <c r="I173" s="93">
        <f t="shared" ca="1" si="51"/>
        <v>680.27210884353747</v>
      </c>
      <c r="J173" s="93">
        <f t="shared" ca="1" si="51"/>
        <v>680.27210884353747</v>
      </c>
      <c r="K173" s="93">
        <f t="shared" ca="1" si="51"/>
        <v>680.27210884353747</v>
      </c>
      <c r="L173" s="93">
        <f t="shared" ca="1" si="51"/>
        <v>680.27210884353747</v>
      </c>
      <c r="M173" s="93">
        <f t="shared" ca="1" si="51"/>
        <v>680.27210884353747</v>
      </c>
      <c r="N173" s="93">
        <f t="shared" ca="1" si="51"/>
        <v>485.90864917395533</v>
      </c>
    </row>
    <row r="174" spans="1:14">
      <c r="A174"/>
      <c r="B174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</row>
    <row r="175" spans="1:14" ht="23.45">
      <c r="A175" s="84" t="s">
        <v>125</v>
      </c>
    </row>
    <row r="177" spans="1:14">
      <c r="A177" s="86" t="s">
        <v>126</v>
      </c>
      <c r="B177" s="90" t="s">
        <v>127</v>
      </c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B178" s="90" t="s">
        <v>128</v>
      </c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B179" s="90" t="s">
        <v>129</v>
      </c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B180" s="90" t="s">
        <v>130</v>
      </c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68"/>
      <c r="B181" s="90" t="s">
        <v>124</v>
      </c>
      <c r="C181" s="50">
        <f ca="1">SUM(Depreciation!I2:I11)</f>
        <v>952.38095238095241</v>
      </c>
      <c r="D181" s="50">
        <f ca="1">SUM(Depreciation!J2:J11)</f>
        <v>952.38095238095241</v>
      </c>
      <c r="E181" s="50">
        <f ca="1">SUM(Depreciation!K2:K11)</f>
        <v>952.38095238095241</v>
      </c>
      <c r="F181" s="50">
        <f ca="1">SUM(Depreciation!L2:L11)</f>
        <v>952.38095238095241</v>
      </c>
      <c r="G181" s="50">
        <f ca="1">SUM(Depreciation!M2:M11)</f>
        <v>952.38095238095241</v>
      </c>
      <c r="H181" s="50">
        <f ca="1">SUM(Depreciation!N2:N11)</f>
        <v>952.38095238095241</v>
      </c>
      <c r="I181" s="50">
        <f ca="1">SUM(Depreciation!O2:O11)</f>
        <v>952.38095238095241</v>
      </c>
      <c r="J181" s="50">
        <f ca="1">SUM(Depreciation!P2:P11)</f>
        <v>952.38095238095241</v>
      </c>
      <c r="K181" s="50">
        <f ca="1">SUM(Depreciation!Q2:Q11)</f>
        <v>952.38095238095241</v>
      </c>
      <c r="L181" s="50">
        <f ca="1">SUM(Depreciation!R2:R11)</f>
        <v>952.38095238095241</v>
      </c>
      <c r="M181" s="50">
        <f ca="1">SUM(Depreciation!S2:S11)</f>
        <v>952.38095238095241</v>
      </c>
      <c r="N181" s="50">
        <f ca="1">SUM(Depreciation!T2:T11)</f>
        <v>952.38095238095241</v>
      </c>
    </row>
    <row r="182" spans="1:14">
      <c r="B182" s="90" t="s">
        <v>131</v>
      </c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 ht="15" thickBot="1">
      <c r="B183" s="90" t="s">
        <v>132</v>
      </c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 ht="24" thickBot="1">
      <c r="B184" s="101" t="s">
        <v>58</v>
      </c>
      <c r="C184" s="93">
        <f t="shared" ref="C184:N184" ca="1" si="52">SUM(C177:C183)</f>
        <v>952.38095238095241</v>
      </c>
      <c r="D184" s="93">
        <f t="shared" ca="1" si="52"/>
        <v>952.38095238095241</v>
      </c>
      <c r="E184" s="93">
        <f t="shared" ca="1" si="52"/>
        <v>952.38095238095241</v>
      </c>
      <c r="F184" s="93">
        <f t="shared" ca="1" si="52"/>
        <v>952.38095238095241</v>
      </c>
      <c r="G184" s="93">
        <f t="shared" ca="1" si="52"/>
        <v>952.38095238095241</v>
      </c>
      <c r="H184" s="93">
        <f t="shared" ca="1" si="52"/>
        <v>952.38095238095241</v>
      </c>
      <c r="I184" s="93">
        <f t="shared" ca="1" si="52"/>
        <v>952.38095238095241</v>
      </c>
      <c r="J184" s="93">
        <f t="shared" ca="1" si="52"/>
        <v>952.38095238095241</v>
      </c>
      <c r="K184" s="93">
        <f t="shared" ca="1" si="52"/>
        <v>952.38095238095241</v>
      </c>
      <c r="L184" s="93">
        <f t="shared" ca="1" si="52"/>
        <v>952.38095238095241</v>
      </c>
      <c r="M184" s="93">
        <f t="shared" ca="1" si="52"/>
        <v>952.38095238095241</v>
      </c>
      <c r="N184" s="93">
        <f t="shared" ca="1" si="52"/>
        <v>952.38095238095241</v>
      </c>
    </row>
    <row r="185" spans="1:14">
      <c r="B185" s="6"/>
    </row>
    <row r="186" spans="1:14">
      <c r="A186" s="86" t="s">
        <v>133</v>
      </c>
      <c r="B186" s="90" t="s">
        <v>134</v>
      </c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B187" s="90" t="s">
        <v>135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B188" s="90" t="s">
        <v>136</v>
      </c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B189" s="90" t="s">
        <v>137</v>
      </c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 ht="15" thickBot="1">
      <c r="B190" s="90" t="s">
        <v>132</v>
      </c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 ht="24" thickBot="1">
      <c r="B191" s="101" t="s">
        <v>58</v>
      </c>
      <c r="C191" s="93">
        <f>SUM(C186:C190)</f>
        <v>0</v>
      </c>
      <c r="D191" s="93">
        <f t="shared" ref="D191:N191" si="53">SUM(D186:D190)</f>
        <v>0</v>
      </c>
      <c r="E191" s="93">
        <f t="shared" si="53"/>
        <v>0</v>
      </c>
      <c r="F191" s="93">
        <f t="shared" si="53"/>
        <v>0</v>
      </c>
      <c r="G191" s="93">
        <f t="shared" si="53"/>
        <v>0</v>
      </c>
      <c r="H191" s="93">
        <f t="shared" si="53"/>
        <v>0</v>
      </c>
      <c r="I191" s="93">
        <f t="shared" si="53"/>
        <v>0</v>
      </c>
      <c r="J191" s="93">
        <f t="shared" si="53"/>
        <v>0</v>
      </c>
      <c r="K191" s="93">
        <f t="shared" si="53"/>
        <v>0</v>
      </c>
      <c r="L191" s="93">
        <f t="shared" si="53"/>
        <v>0</v>
      </c>
      <c r="M191" s="93">
        <f t="shared" si="53"/>
        <v>0</v>
      </c>
      <c r="N191" s="93">
        <f t="shared" si="53"/>
        <v>0</v>
      </c>
    </row>
    <row r="193" spans="1:14">
      <c r="A193" s="86" t="s">
        <v>138</v>
      </c>
      <c r="B193" s="90" t="s">
        <v>139</v>
      </c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B194" s="90" t="s">
        <v>140</v>
      </c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B195" s="90" t="s">
        <v>141</v>
      </c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B196" s="90" t="s">
        <v>142</v>
      </c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B197" s="90" t="s">
        <v>143</v>
      </c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B198" s="90" t="s">
        <v>144</v>
      </c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 ht="15" thickBot="1">
      <c r="B199" s="90" t="s">
        <v>145</v>
      </c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 ht="24" thickBot="1">
      <c r="B200" s="101" t="s">
        <v>58</v>
      </c>
      <c r="C200" s="93">
        <f>SUM(C193:C199)</f>
        <v>0</v>
      </c>
      <c r="D200" s="93">
        <f t="shared" ref="D200:N200" si="54">SUM(D193:D199)</f>
        <v>0</v>
      </c>
      <c r="E200" s="93">
        <f t="shared" si="54"/>
        <v>0</v>
      </c>
      <c r="F200" s="93">
        <f t="shared" si="54"/>
        <v>0</v>
      </c>
      <c r="G200" s="93">
        <f t="shared" si="54"/>
        <v>0</v>
      </c>
      <c r="H200" s="93">
        <f t="shared" si="54"/>
        <v>0</v>
      </c>
      <c r="I200" s="93">
        <f t="shared" si="54"/>
        <v>0</v>
      </c>
      <c r="J200" s="93">
        <f t="shared" si="54"/>
        <v>0</v>
      </c>
      <c r="K200" s="93">
        <f t="shared" si="54"/>
        <v>0</v>
      </c>
      <c r="L200" s="93">
        <f t="shared" si="54"/>
        <v>0</v>
      </c>
      <c r="M200" s="93">
        <f t="shared" si="54"/>
        <v>0</v>
      </c>
      <c r="N200" s="93">
        <f t="shared" si="54"/>
        <v>0</v>
      </c>
    </row>
    <row r="201" spans="1:14">
      <c r="B201" s="6"/>
    </row>
    <row r="202" spans="1:14">
      <c r="A202" s="86" t="s">
        <v>146</v>
      </c>
      <c r="B202" s="90" t="s">
        <v>147</v>
      </c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 ht="15" thickBot="1">
      <c r="B203" s="90" t="s">
        <v>148</v>
      </c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 ht="24" thickBot="1">
      <c r="B204" s="101" t="s">
        <v>58</v>
      </c>
      <c r="C204" s="93">
        <f>SUM(C202:C203)</f>
        <v>0</v>
      </c>
      <c r="D204" s="93">
        <f t="shared" ref="D204:N204" si="55">SUM(D202:D203)</f>
        <v>0</v>
      </c>
      <c r="E204" s="93">
        <f t="shared" si="55"/>
        <v>0</v>
      </c>
      <c r="F204" s="93">
        <f t="shared" si="55"/>
        <v>0</v>
      </c>
      <c r="G204" s="93">
        <f t="shared" si="55"/>
        <v>0</v>
      </c>
      <c r="H204" s="93">
        <f t="shared" si="55"/>
        <v>0</v>
      </c>
      <c r="I204" s="93">
        <f t="shared" si="55"/>
        <v>0</v>
      </c>
      <c r="J204" s="93">
        <f t="shared" si="55"/>
        <v>0</v>
      </c>
      <c r="K204" s="93">
        <f t="shared" si="55"/>
        <v>0</v>
      </c>
      <c r="L204" s="93">
        <f t="shared" si="55"/>
        <v>0</v>
      </c>
      <c r="M204" s="93">
        <f t="shared" si="55"/>
        <v>0</v>
      </c>
      <c r="N204" s="93">
        <f t="shared" si="55"/>
        <v>0</v>
      </c>
    </row>
    <row r="206" spans="1:14">
      <c r="A206" s="86" t="s">
        <v>149</v>
      </c>
      <c r="B206" s="90" t="s">
        <v>150</v>
      </c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B207" s="90" t="s">
        <v>151</v>
      </c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B208" s="90" t="s">
        <v>152</v>
      </c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B209" s="90" t="s">
        <v>153</v>
      </c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B210" s="90" t="s">
        <v>154</v>
      </c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 ht="15" thickBot="1">
      <c r="B211" s="90" t="s">
        <v>132</v>
      </c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 ht="24" thickBot="1">
      <c r="B212" s="101" t="s">
        <v>58</v>
      </c>
      <c r="C212" s="93">
        <f>SUM(C206:C211)</f>
        <v>0</v>
      </c>
      <c r="D212" s="93">
        <f t="shared" ref="D212:N212" si="56">SUM(D206:D211)</f>
        <v>0</v>
      </c>
      <c r="E212" s="93">
        <f t="shared" si="56"/>
        <v>0</v>
      </c>
      <c r="F212" s="93">
        <f t="shared" si="56"/>
        <v>0</v>
      </c>
      <c r="G212" s="93">
        <f t="shared" si="56"/>
        <v>0</v>
      </c>
      <c r="H212" s="93">
        <f t="shared" si="56"/>
        <v>0</v>
      </c>
      <c r="I212" s="93">
        <f t="shared" si="56"/>
        <v>0</v>
      </c>
      <c r="J212" s="93">
        <f t="shared" si="56"/>
        <v>0</v>
      </c>
      <c r="K212" s="93">
        <f t="shared" si="56"/>
        <v>0</v>
      </c>
      <c r="L212" s="93">
        <f t="shared" si="56"/>
        <v>0</v>
      </c>
      <c r="M212" s="93">
        <f t="shared" si="56"/>
        <v>0</v>
      </c>
      <c r="N212" s="93">
        <f t="shared" si="56"/>
        <v>0</v>
      </c>
    </row>
    <row r="213" spans="1:14">
      <c r="B213" s="6"/>
    </row>
    <row r="214" spans="1:14">
      <c r="A214" s="86" t="s">
        <v>155</v>
      </c>
      <c r="B214" s="90" t="s">
        <v>156</v>
      </c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B215" s="90" t="s">
        <v>157</v>
      </c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90" t="str">
        <f>A145</f>
        <v>Kilter Tilter - Consumer Version</v>
      </c>
      <c r="B216" s="90" t="s">
        <v>158</v>
      </c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90"/>
      <c r="B217" s="90" t="s">
        <v>159</v>
      </c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90"/>
      <c r="B218" s="90" t="s">
        <v>160</v>
      </c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B219" s="90" t="s">
        <v>161</v>
      </c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90" t="str">
        <f>A146</f>
        <v>Kilter Tilter -Therapy Version</v>
      </c>
      <c r="B220" s="90" t="s">
        <v>158</v>
      </c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6"/>
      <c r="B221" s="90" t="s">
        <v>159</v>
      </c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6"/>
      <c r="B222" s="90" t="s">
        <v>160</v>
      </c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6"/>
      <c r="B223" s="90" t="s">
        <v>161</v>
      </c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90" t="str">
        <f>A147</f>
        <v>Kilter Roller</v>
      </c>
      <c r="B224" s="90" t="s">
        <v>158</v>
      </c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90"/>
      <c r="B225" s="90" t="s">
        <v>159</v>
      </c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90"/>
      <c r="B226" s="90" t="s">
        <v>160</v>
      </c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6"/>
      <c r="B227" s="90" t="s">
        <v>161</v>
      </c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90" t="str">
        <f>A148</f>
        <v xml:space="preserve">    ---    </v>
      </c>
      <c r="B228" s="90" t="s">
        <v>158</v>
      </c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90"/>
      <c r="B229" s="90" t="s">
        <v>159</v>
      </c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90"/>
      <c r="B230" s="90" t="s">
        <v>160</v>
      </c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6"/>
      <c r="B231" s="90" t="s">
        <v>161</v>
      </c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90" t="str">
        <f>A149</f>
        <v xml:space="preserve">    ---    </v>
      </c>
      <c r="B232" s="90" t="s">
        <v>158</v>
      </c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90"/>
      <c r="B233" s="90" t="s">
        <v>159</v>
      </c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90"/>
      <c r="B234" s="90" t="s">
        <v>160</v>
      </c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 ht="15" thickBot="1">
      <c r="B235" s="90" t="s">
        <v>161</v>
      </c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 ht="24" thickBot="1">
      <c r="B236" s="101" t="s">
        <v>58</v>
      </c>
      <c r="C236" s="93">
        <f>SUM(C214:C235)</f>
        <v>0</v>
      </c>
      <c r="D236" s="93">
        <f t="shared" ref="D236:N236" si="57">SUM(D214:D235)</f>
        <v>0</v>
      </c>
      <c r="E236" s="93">
        <f t="shared" si="57"/>
        <v>0</v>
      </c>
      <c r="F236" s="93">
        <f t="shared" si="57"/>
        <v>0</v>
      </c>
      <c r="G236" s="93">
        <f t="shared" si="57"/>
        <v>0</v>
      </c>
      <c r="H236" s="93">
        <f t="shared" si="57"/>
        <v>0</v>
      </c>
      <c r="I236" s="93">
        <f t="shared" si="57"/>
        <v>0</v>
      </c>
      <c r="J236" s="93">
        <f t="shared" si="57"/>
        <v>0</v>
      </c>
      <c r="K236" s="93">
        <f t="shared" si="57"/>
        <v>0</v>
      </c>
      <c r="L236" s="93">
        <f t="shared" si="57"/>
        <v>0</v>
      </c>
      <c r="M236" s="93">
        <f t="shared" si="57"/>
        <v>0</v>
      </c>
      <c r="N236" s="93">
        <f t="shared" si="57"/>
        <v>0</v>
      </c>
    </row>
    <row r="238" spans="1:14">
      <c r="A238" s="86" t="s">
        <v>162</v>
      </c>
      <c r="B238" s="160" t="s">
        <v>163</v>
      </c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B239" s="160" t="s">
        <v>164</v>
      </c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B240" s="160" t="s">
        <v>165</v>
      </c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B241" s="160" t="s">
        <v>166</v>
      </c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 ht="15" thickBot="1">
      <c r="B242" s="160" t="s">
        <v>167</v>
      </c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 ht="24" thickBot="1">
      <c r="B243" s="101" t="s">
        <v>58</v>
      </c>
      <c r="C243" s="93">
        <f>SUM(C238:C242)</f>
        <v>0</v>
      </c>
      <c r="D243" s="93">
        <f t="shared" ref="D243:N243" si="58">SUM(D238:D242)</f>
        <v>0</v>
      </c>
      <c r="E243" s="93">
        <f t="shared" si="58"/>
        <v>0</v>
      </c>
      <c r="F243" s="93">
        <f t="shared" si="58"/>
        <v>0</v>
      </c>
      <c r="G243" s="93">
        <f t="shared" si="58"/>
        <v>0</v>
      </c>
      <c r="H243" s="93">
        <f t="shared" si="58"/>
        <v>0</v>
      </c>
      <c r="I243" s="93">
        <f t="shared" si="58"/>
        <v>0</v>
      </c>
      <c r="J243" s="93">
        <f t="shared" si="58"/>
        <v>0</v>
      </c>
      <c r="K243" s="93">
        <f t="shared" si="58"/>
        <v>0</v>
      </c>
      <c r="L243" s="93">
        <f t="shared" si="58"/>
        <v>0</v>
      </c>
      <c r="M243" s="93">
        <f t="shared" si="58"/>
        <v>0</v>
      </c>
      <c r="N243" s="93">
        <f t="shared" si="58"/>
        <v>0</v>
      </c>
    </row>
    <row r="245" spans="1:14" ht="23.45">
      <c r="A245" s="111" t="s">
        <v>168</v>
      </c>
      <c r="B245" s="6"/>
    </row>
    <row r="247" spans="1:14" ht="18">
      <c r="A247" s="112" t="s">
        <v>74</v>
      </c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</row>
    <row r="248" spans="1:14">
      <c r="A248" s="109" t="s">
        <v>169</v>
      </c>
      <c r="B248" s="109" t="s">
        <v>170</v>
      </c>
      <c r="C248" s="109" t="s">
        <v>171</v>
      </c>
      <c r="D248" s="109" t="s">
        <v>171</v>
      </c>
      <c r="E248" s="109" t="s">
        <v>171</v>
      </c>
      <c r="F248" s="109" t="s">
        <v>171</v>
      </c>
      <c r="G248" s="109" t="s">
        <v>171</v>
      </c>
      <c r="H248" s="109" t="s">
        <v>171</v>
      </c>
      <c r="I248" s="109" t="s">
        <v>171</v>
      </c>
      <c r="J248" s="109" t="s">
        <v>171</v>
      </c>
      <c r="K248" s="109" t="s">
        <v>171</v>
      </c>
      <c r="L248" s="109" t="s">
        <v>171</v>
      </c>
      <c r="M248" s="109" t="s">
        <v>171</v>
      </c>
      <c r="N248" s="109" t="s">
        <v>171</v>
      </c>
    </row>
    <row r="249" spans="1:14">
      <c r="A249" s="4" t="str">
        <f>IF('Year 1'!A245&gt;0,'Year 1'!A245,"")</f>
        <v>Therapist</v>
      </c>
      <c r="B249" s="4" t="str">
        <f>IF('Year 1'!B245&gt;0,'Year 1'!B245,"")</f>
        <v/>
      </c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1:14">
      <c r="A250" s="4" t="str">
        <f>IF('Year 1'!A246&gt;0,'Year 1'!A246,"")</f>
        <v/>
      </c>
      <c r="B250" s="4" t="str">
        <f>IF('Year 1'!B246&gt;0,'Year 1'!B246,"")</f>
        <v/>
      </c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1:14">
      <c r="A251" s="4" t="str">
        <f>IF('Year 1'!A247&gt;0,'Year 1'!A247,"")</f>
        <v/>
      </c>
      <c r="B251" s="4" t="str">
        <f>IF('Year 1'!B247&gt;0,'Year 1'!B247,"")</f>
        <v/>
      </c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1:14">
      <c r="A252" s="4" t="str">
        <f>IF('Year 1'!A248&gt;0,'Year 1'!A248,"")</f>
        <v/>
      </c>
      <c r="B252" s="4" t="str">
        <f>IF('Year 1'!B248&gt;0,'Year 1'!B248,"")</f>
        <v/>
      </c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1:14">
      <c r="A253" s="61" t="str">
        <f>IF('Year 1'!A249&gt;0,'Year 1'!A249,"")</f>
        <v/>
      </c>
      <c r="B253" s="4" t="str">
        <f>IF('Year 1'!B249&gt;0,'Year 1'!B249,"")</f>
        <v/>
      </c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1:14">
      <c r="A254" s="61" t="str">
        <f>IF('Year 1'!A250&gt;0,'Year 1'!A250,"")</f>
        <v/>
      </c>
      <c r="B254" s="4" t="str">
        <f>IF('Year 1'!B250&gt;0,'Year 1'!B250,"")</f>
        <v/>
      </c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1:14">
      <c r="A255" s="61" t="str">
        <f>IF('Year 1'!A251&gt;0,'Year 1'!A251,"")</f>
        <v/>
      </c>
      <c r="B255" s="4" t="str">
        <f>IF('Year 1'!B251&gt;0,'Year 1'!B251,"")</f>
        <v/>
      </c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1:14">
      <c r="A256" s="61" t="str">
        <f>IF('Year 1'!A252&gt;0,'Year 1'!A252,"")</f>
        <v/>
      </c>
      <c r="B256" s="4" t="str">
        <f>IF('Year 1'!B252&gt;0,'Year 1'!B252,"")</f>
        <v/>
      </c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1:14">
      <c r="A257" s="61" t="str">
        <f>IF('Year 1'!A253&gt;0,'Year 1'!A253,"")</f>
        <v/>
      </c>
      <c r="B257" s="4" t="str">
        <f>IF('Year 1'!B253&gt;0,'Year 1'!B253,"")</f>
        <v/>
      </c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1:14" ht="15" thickBot="1">
      <c r="A258" s="61" t="str">
        <f>IF('Year 1'!A254&gt;0,'Year 1'!A254,"")</f>
        <v/>
      </c>
      <c r="B258" s="4" t="str">
        <f>IF('Year 1'!B254&gt;0,'Year 1'!B254,"")</f>
        <v/>
      </c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1:14" ht="24" thickBot="1">
      <c r="B259" s="101" t="s">
        <v>58</v>
      </c>
      <c r="C259" s="93">
        <f>SUMPRODUCT(B249:B258,C249:C258)</f>
        <v>0</v>
      </c>
      <c r="D259" s="93">
        <f>SUMPRODUCT(B249:B258,D249:D258)</f>
        <v>0</v>
      </c>
      <c r="E259" s="93">
        <f>SUMPRODUCT(B249:B258,E249:E258)</f>
        <v>0</v>
      </c>
      <c r="F259" s="93">
        <f>SUMPRODUCT(B249:B258,F249:F258)</f>
        <v>0</v>
      </c>
      <c r="G259" s="93">
        <f>SUMPRODUCT(B249:B258,G249:G258)</f>
        <v>0</v>
      </c>
      <c r="H259" s="93">
        <f>SUMPRODUCT(B249:B258,H249:H258)</f>
        <v>0</v>
      </c>
      <c r="I259" s="93">
        <f>SUMPRODUCT(B249:B258,I249:I258)</f>
        <v>0</v>
      </c>
      <c r="J259" s="93">
        <f>SUMPRODUCT(B249:B258,J249:J258)</f>
        <v>0</v>
      </c>
      <c r="K259" s="93">
        <f>SUMPRODUCT(B249:B258,K249:K258)</f>
        <v>0</v>
      </c>
      <c r="L259" s="93">
        <f>SUMPRODUCT(B249:B258,L249:L258)</f>
        <v>0</v>
      </c>
      <c r="M259" s="93">
        <f>SUMPRODUCT(B249:B258,M249:M258)</f>
        <v>0</v>
      </c>
      <c r="N259" s="93">
        <f>SUMPRODUCT(B249:B258,N249:N258)</f>
        <v>0</v>
      </c>
    </row>
    <row r="260" spans="1:14" ht="18">
      <c r="A260" s="112" t="s">
        <v>173</v>
      </c>
    </row>
    <row r="261" spans="1:14">
      <c r="A261" s="109" t="s">
        <v>169</v>
      </c>
      <c r="B261" s="109" t="s">
        <v>174</v>
      </c>
      <c r="C261" s="109" t="s">
        <v>171</v>
      </c>
      <c r="D261" s="109" t="s">
        <v>171</v>
      </c>
      <c r="E261" s="109" t="s">
        <v>171</v>
      </c>
      <c r="F261" s="109" t="s">
        <v>171</v>
      </c>
      <c r="G261" s="109" t="s">
        <v>171</v>
      </c>
      <c r="H261" s="109" t="s">
        <v>171</v>
      </c>
      <c r="I261" s="109" t="s">
        <v>171</v>
      </c>
      <c r="J261" s="109" t="s">
        <v>171</v>
      </c>
      <c r="K261" s="109" t="s">
        <v>171</v>
      </c>
      <c r="L261" s="109" t="s">
        <v>171</v>
      </c>
      <c r="M261" s="109" t="s">
        <v>171</v>
      </c>
      <c r="N261" s="109" t="s">
        <v>171</v>
      </c>
    </row>
    <row r="262" spans="1:14">
      <c r="A262" s="61" t="str">
        <f>IF('Year 1'!A258&gt;0,'Year 1'!A258,"")</f>
        <v/>
      </c>
      <c r="B262" s="4" t="str">
        <f>IF('Year 1'!B258&gt;0,'Year 1'!B258,"")</f>
        <v/>
      </c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1:14">
      <c r="A263" s="61" t="str">
        <f>IF('Year 1'!A259&gt;0,'Year 1'!A259,"")</f>
        <v/>
      </c>
      <c r="B263" s="4" t="str">
        <f>IF('Year 1'!B259&gt;0,'Year 1'!B259,"")</f>
        <v/>
      </c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1:14">
      <c r="A264" s="61" t="str">
        <f>IF('Year 1'!A260&gt;0,'Year 1'!A260,"")</f>
        <v/>
      </c>
      <c r="B264" s="4" t="str">
        <f>IF('Year 1'!B260&gt;0,'Year 1'!B260,"")</f>
        <v/>
      </c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1:14">
      <c r="A265" s="61" t="str">
        <f>IF('Year 1'!A261&gt;0,'Year 1'!A261,"")</f>
        <v/>
      </c>
      <c r="B265" s="4" t="str">
        <f>IF('Year 1'!B261&gt;0,'Year 1'!B261,"")</f>
        <v/>
      </c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1:14">
      <c r="A266" s="61" t="str">
        <f>IF('Year 1'!A262&gt;0,'Year 1'!A262,"")</f>
        <v/>
      </c>
      <c r="B266" s="4" t="str">
        <f>IF('Year 1'!B262&gt;0,'Year 1'!B262,"")</f>
        <v/>
      </c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1:14">
      <c r="A267" s="61" t="str">
        <f>IF('Year 1'!A263&gt;0,'Year 1'!A263,"")</f>
        <v/>
      </c>
      <c r="B267" s="4" t="str">
        <f>IF('Year 1'!B263&gt;0,'Year 1'!B263,"")</f>
        <v/>
      </c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1:14">
      <c r="A268" s="61" t="str">
        <f>IF('Year 1'!A264&gt;0,'Year 1'!A264,"")</f>
        <v/>
      </c>
      <c r="B268" s="4" t="str">
        <f>IF('Year 1'!B264&gt;0,'Year 1'!B264,"")</f>
        <v/>
      </c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1:14">
      <c r="A269" s="61" t="str">
        <f>IF('Year 1'!A265&gt;0,'Year 1'!A265,"")</f>
        <v/>
      </c>
      <c r="B269" s="4" t="str">
        <f>IF('Year 1'!B265&gt;0,'Year 1'!B265,"")</f>
        <v/>
      </c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1:14">
      <c r="A270" s="61" t="str">
        <f>IF('Year 1'!A266&gt;0,'Year 1'!A266,"")</f>
        <v/>
      </c>
      <c r="B270" s="4" t="str">
        <f>IF('Year 1'!B266&gt;0,'Year 1'!B266,"")</f>
        <v/>
      </c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1:14" ht="15" thickBot="1">
      <c r="A271" s="61" t="str">
        <f>IF('Year 1'!A267&gt;0,'Year 1'!A267,"")</f>
        <v/>
      </c>
      <c r="B271" s="4" t="str">
        <f>IF('Year 1'!B267&gt;0,'Year 1'!B267,"")</f>
        <v/>
      </c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1:14" ht="24" thickBot="1">
      <c r="B272" s="101" t="s">
        <v>58</v>
      </c>
      <c r="C272" s="93">
        <f>SUMPRODUCT(B262:B271,C262:C271)</f>
        <v>0</v>
      </c>
      <c r="D272" s="93">
        <f>SUMPRODUCT(B262:B271,D262:D271)</f>
        <v>0</v>
      </c>
      <c r="E272" s="93">
        <f>SUMPRODUCT(B262:B271,E262:E271)</f>
        <v>0</v>
      </c>
      <c r="F272" s="93">
        <f>SUMPRODUCT(B262:B271,F262:F271)</f>
        <v>0</v>
      </c>
      <c r="G272" s="93">
        <f>SUMPRODUCT(B262:B271,G262:G271)</f>
        <v>0</v>
      </c>
      <c r="H272" s="93">
        <f>SUMPRODUCT(B262:B271,H262:H271)</f>
        <v>0</v>
      </c>
      <c r="I272" s="93">
        <f>SUMPRODUCT(B262:B271,I262:I271)</f>
        <v>0</v>
      </c>
      <c r="J272" s="93">
        <f>SUMPRODUCT(B262:B271,J262:J271)</f>
        <v>0</v>
      </c>
      <c r="K272" s="93">
        <f>SUMPRODUCT(B262:B271,K262:K271)</f>
        <v>0</v>
      </c>
      <c r="L272" s="93">
        <f>SUMPRODUCT(B262:B271,L262:L271)</f>
        <v>0</v>
      </c>
      <c r="M272" s="93">
        <f>SUMPRODUCT(B262:B271,M262:M271)</f>
        <v>0</v>
      </c>
      <c r="N272" s="93">
        <f>SUMPRODUCT(B262:B271,N262:N271)</f>
        <v>0</v>
      </c>
    </row>
    <row r="273" spans="1:14" ht="18">
      <c r="A273" s="112" t="s">
        <v>175</v>
      </c>
    </row>
    <row r="274" spans="1:14">
      <c r="A274" s="109" t="s">
        <v>169</v>
      </c>
      <c r="B274" s="109" t="s">
        <v>174</v>
      </c>
      <c r="C274" s="109" t="s">
        <v>171</v>
      </c>
      <c r="D274" s="109" t="s">
        <v>171</v>
      </c>
      <c r="E274" s="109" t="s">
        <v>171</v>
      </c>
      <c r="F274" s="109" t="s">
        <v>171</v>
      </c>
      <c r="G274" s="109" t="s">
        <v>171</v>
      </c>
      <c r="H274" s="109" t="s">
        <v>171</v>
      </c>
      <c r="I274" s="109" t="s">
        <v>171</v>
      </c>
      <c r="J274" s="109" t="s">
        <v>171</v>
      </c>
      <c r="K274" s="109" t="s">
        <v>171</v>
      </c>
      <c r="L274" s="109" t="s">
        <v>171</v>
      </c>
      <c r="M274" s="109" t="s">
        <v>171</v>
      </c>
      <c r="N274" s="109" t="s">
        <v>171</v>
      </c>
    </row>
    <row r="275" spans="1:14">
      <c r="A275" s="61" t="str">
        <f>IF('Year 1'!A271&gt;0,'Year 1'!A271,"")</f>
        <v>Office Admin</v>
      </c>
      <c r="B275" s="4">
        <f>IF('Year 1'!B271&gt;0,'Year 1'!B271,"")</f>
        <v>1000</v>
      </c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1:14">
      <c r="A276" s="61" t="str">
        <f>IF('Year 1'!A272&gt;0,'Year 1'!A272,"")</f>
        <v/>
      </c>
      <c r="B276" s="4" t="str">
        <f>IF('Year 1'!B272&gt;0,'Year 1'!B272,"")</f>
        <v/>
      </c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1:14">
      <c r="A277" s="61" t="str">
        <f>IF('Year 1'!A273&gt;0,'Year 1'!A273,"")</f>
        <v/>
      </c>
      <c r="B277" s="4" t="str">
        <f>IF('Year 1'!B273&gt;0,'Year 1'!B273,"")</f>
        <v/>
      </c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1:14">
      <c r="A278" s="61" t="str">
        <f>IF('Year 1'!A274&gt;0,'Year 1'!A274,"")</f>
        <v/>
      </c>
      <c r="B278" s="4" t="str">
        <f>IF('Year 1'!B274&gt;0,'Year 1'!B274,"")</f>
        <v/>
      </c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1:14">
      <c r="A279" s="61" t="str">
        <f>IF('Year 1'!A275&gt;0,'Year 1'!A275,"")</f>
        <v/>
      </c>
      <c r="B279" s="4" t="str">
        <f>IF('Year 1'!B275&gt;0,'Year 1'!B275,"")</f>
        <v/>
      </c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1:14">
      <c r="A280" s="61" t="str">
        <f>IF('Year 1'!A276&gt;0,'Year 1'!A276,"")</f>
        <v/>
      </c>
      <c r="B280" s="4" t="str">
        <f>IF('Year 1'!B276&gt;0,'Year 1'!B276,"")</f>
        <v/>
      </c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1:14">
      <c r="A281" s="61" t="str">
        <f>IF('Year 1'!A277&gt;0,'Year 1'!A277,"")</f>
        <v/>
      </c>
      <c r="B281" s="4" t="str">
        <f>IF('Year 1'!B277&gt;0,'Year 1'!B277,"")</f>
        <v/>
      </c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1:14">
      <c r="A282" s="61" t="str">
        <f>IF('Year 1'!A278&gt;0,'Year 1'!A278,"")</f>
        <v/>
      </c>
      <c r="B282" s="4" t="str">
        <f>IF('Year 1'!B278&gt;0,'Year 1'!B278,"")</f>
        <v/>
      </c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1:14">
      <c r="A283" s="61" t="str">
        <f>IF('Year 1'!A279&gt;0,'Year 1'!A279,"")</f>
        <v/>
      </c>
      <c r="B283" s="4" t="str">
        <f>IF('Year 1'!B279&gt;0,'Year 1'!B279,"")</f>
        <v/>
      </c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1:14" ht="15" thickBot="1">
      <c r="A284" s="61" t="str">
        <f>IF('Year 1'!A280&gt;0,'Year 1'!A280,"")</f>
        <v/>
      </c>
      <c r="B284" s="4" t="str">
        <f>IF('Year 1'!B280&gt;0,'Year 1'!B280,"")</f>
        <v/>
      </c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1:14" ht="24" thickBot="1">
      <c r="B285" s="101" t="s">
        <v>58</v>
      </c>
      <c r="C285" s="93">
        <f>SUMPRODUCT(B275:B284,C275:C284)</f>
        <v>0</v>
      </c>
      <c r="D285" s="93">
        <f>SUMPRODUCT(B275:B284,D275:D284)</f>
        <v>0</v>
      </c>
      <c r="E285" s="93">
        <f>SUMPRODUCT(B275:B284,E275:E284)</f>
        <v>0</v>
      </c>
      <c r="F285" s="93">
        <f>SUMPRODUCT(B275:B284,F275:F284)</f>
        <v>0</v>
      </c>
      <c r="G285" s="93">
        <f>SUMPRODUCT(B275:B284,G275:G284)</f>
        <v>0</v>
      </c>
      <c r="H285" s="93">
        <f>SUMPRODUCT(B275:B284,H275:H284)</f>
        <v>0</v>
      </c>
      <c r="I285" s="93">
        <f>SUMPRODUCT(B275:B284,I275:I284)</f>
        <v>0</v>
      </c>
      <c r="J285" s="93">
        <f>SUMPRODUCT(B275:B284,J275:J284)</f>
        <v>0</v>
      </c>
      <c r="K285" s="93">
        <f>SUMPRODUCT(B275:B284,K275:K284)</f>
        <v>0</v>
      </c>
      <c r="L285" s="93">
        <f>SUMPRODUCT(B275:B284,L275:L284)</f>
        <v>0</v>
      </c>
      <c r="M285" s="93">
        <f>SUMPRODUCT(B275:B284,M275:M284)</f>
        <v>0</v>
      </c>
      <c r="N285" s="93">
        <f>SUMPRODUCT(B275:B284,N275:N284)</f>
        <v>0</v>
      </c>
    </row>
    <row r="286" spans="1:14">
      <c r="A286" s="109" t="s">
        <v>177</v>
      </c>
    </row>
    <row r="287" spans="1:14">
      <c r="A287" s="142" t="str">
        <f>IF('Year 1'!A283&gt;0,'Year 1'!A283,"")</f>
        <v>Founder(s) NOT Taxed (in gray below)</v>
      </c>
      <c r="B287" s="105" t="s">
        <v>179</v>
      </c>
      <c r="C287" s="113">
        <f>COUNTIF('Pro Forma'!B8:B12,"&gt;0")</f>
        <v>1</v>
      </c>
      <c r="D287" s="113">
        <f>C287</f>
        <v>1</v>
      </c>
      <c r="E287" s="113">
        <f>D287</f>
        <v>1</v>
      </c>
      <c r="F287" s="113">
        <f t="shared" ref="F287:N287" si="59">E287</f>
        <v>1</v>
      </c>
      <c r="G287" s="113">
        <f t="shared" si="59"/>
        <v>1</v>
      </c>
      <c r="H287" s="113">
        <f t="shared" si="59"/>
        <v>1</v>
      </c>
      <c r="I287" s="113">
        <f t="shared" si="59"/>
        <v>1</v>
      </c>
      <c r="J287" s="113">
        <f t="shared" si="59"/>
        <v>1</v>
      </c>
      <c r="K287" s="113">
        <f t="shared" si="59"/>
        <v>1</v>
      </c>
      <c r="L287" s="113">
        <f t="shared" si="59"/>
        <v>1</v>
      </c>
      <c r="M287" s="113">
        <f t="shared" si="59"/>
        <v>1</v>
      </c>
      <c r="N287" s="113">
        <f t="shared" si="59"/>
        <v>1</v>
      </c>
    </row>
    <row r="288" spans="1:14">
      <c r="B288" s="105" t="s">
        <v>180</v>
      </c>
      <c r="C288" s="114">
        <f t="shared" ref="C288:N288" si="60">SUM(C249:C258)</f>
        <v>0</v>
      </c>
      <c r="D288" s="113">
        <f t="shared" si="60"/>
        <v>0</v>
      </c>
      <c r="E288" s="113">
        <f t="shared" si="60"/>
        <v>0</v>
      </c>
      <c r="F288" s="113">
        <f t="shared" si="60"/>
        <v>0</v>
      </c>
      <c r="G288" s="113">
        <f t="shared" si="60"/>
        <v>0</v>
      </c>
      <c r="H288" s="113">
        <f t="shared" si="60"/>
        <v>0</v>
      </c>
      <c r="I288" s="113">
        <f t="shared" si="60"/>
        <v>0</v>
      </c>
      <c r="J288" s="113">
        <f t="shared" si="60"/>
        <v>0</v>
      </c>
      <c r="K288" s="113">
        <f t="shared" si="60"/>
        <v>0</v>
      </c>
      <c r="L288" s="113">
        <f t="shared" si="60"/>
        <v>0</v>
      </c>
      <c r="M288" s="113">
        <f t="shared" si="60"/>
        <v>0</v>
      </c>
      <c r="N288" s="113">
        <f t="shared" si="60"/>
        <v>0</v>
      </c>
    </row>
    <row r="289" spans="1:14">
      <c r="B289" s="105" t="s">
        <v>181</v>
      </c>
      <c r="C289" s="113">
        <f t="shared" ref="C289:N289" si="61">SUM(C262:C270)</f>
        <v>0</v>
      </c>
      <c r="D289" s="113">
        <f t="shared" si="61"/>
        <v>0</v>
      </c>
      <c r="E289" s="113">
        <f t="shared" si="61"/>
        <v>0</v>
      </c>
      <c r="F289" s="113">
        <f t="shared" si="61"/>
        <v>0</v>
      </c>
      <c r="G289" s="113">
        <f t="shared" si="61"/>
        <v>0</v>
      </c>
      <c r="H289" s="113">
        <f t="shared" si="61"/>
        <v>0</v>
      </c>
      <c r="I289" s="113">
        <f t="shared" si="61"/>
        <v>0</v>
      </c>
      <c r="J289" s="113">
        <f t="shared" si="61"/>
        <v>0</v>
      </c>
      <c r="K289" s="113">
        <f t="shared" si="61"/>
        <v>0</v>
      </c>
      <c r="L289" s="113">
        <f t="shared" si="61"/>
        <v>0</v>
      </c>
      <c r="M289" s="113">
        <f t="shared" si="61"/>
        <v>0</v>
      </c>
      <c r="N289" s="113">
        <f t="shared" si="61"/>
        <v>0</v>
      </c>
    </row>
    <row r="290" spans="1:14">
      <c r="B290" s="105" t="s">
        <v>182</v>
      </c>
      <c r="C290" s="113">
        <f t="shared" ref="C290:N290" si="62">SUM(C275:C283)</f>
        <v>0</v>
      </c>
      <c r="D290" s="113">
        <f t="shared" si="62"/>
        <v>0</v>
      </c>
      <c r="E290" s="113">
        <f t="shared" si="62"/>
        <v>0</v>
      </c>
      <c r="F290" s="113">
        <f t="shared" si="62"/>
        <v>0</v>
      </c>
      <c r="G290" s="113">
        <f t="shared" si="62"/>
        <v>0</v>
      </c>
      <c r="H290" s="113">
        <f t="shared" si="62"/>
        <v>0</v>
      </c>
      <c r="I290" s="113">
        <f t="shared" si="62"/>
        <v>0</v>
      </c>
      <c r="J290" s="113">
        <f t="shared" si="62"/>
        <v>0</v>
      </c>
      <c r="K290" s="113">
        <f t="shared" si="62"/>
        <v>0</v>
      </c>
      <c r="L290" s="113">
        <f t="shared" si="62"/>
        <v>0</v>
      </c>
      <c r="M290" s="113">
        <f t="shared" si="62"/>
        <v>0</v>
      </c>
      <c r="N290" s="113">
        <f t="shared" si="62"/>
        <v>0</v>
      </c>
    </row>
    <row r="291" spans="1:14" ht="23.45">
      <c r="B291" s="101" t="s">
        <v>58</v>
      </c>
      <c r="C291" s="115">
        <f>SUM(C287:C290)</f>
        <v>1</v>
      </c>
      <c r="D291" s="115">
        <f t="shared" ref="D291:N291" si="63">SUM(D287:D290)</f>
        <v>1</v>
      </c>
      <c r="E291" s="115">
        <f t="shared" si="63"/>
        <v>1</v>
      </c>
      <c r="F291" s="115">
        <f t="shared" si="63"/>
        <v>1</v>
      </c>
      <c r="G291" s="115">
        <f t="shared" si="63"/>
        <v>1</v>
      </c>
      <c r="H291" s="115">
        <f t="shared" si="63"/>
        <v>1</v>
      </c>
      <c r="I291" s="115">
        <f t="shared" si="63"/>
        <v>1</v>
      </c>
      <c r="J291" s="115">
        <f t="shared" si="63"/>
        <v>1</v>
      </c>
      <c r="K291" s="115">
        <f t="shared" si="63"/>
        <v>1</v>
      </c>
      <c r="L291" s="115">
        <f t="shared" si="63"/>
        <v>1</v>
      </c>
      <c r="M291" s="115">
        <f t="shared" si="63"/>
        <v>1</v>
      </c>
      <c r="N291" s="115">
        <f t="shared" si="63"/>
        <v>1</v>
      </c>
    </row>
    <row r="292" spans="1:14">
      <c r="A292" s="86" t="s">
        <v>183</v>
      </c>
    </row>
    <row r="293" spans="1:14">
      <c r="A293" s="116" t="s">
        <v>184</v>
      </c>
      <c r="B293" s="10">
        <f>IF('Year 1'!B289&gt;0,'Year 1'!B289,"")</f>
        <v>6.2E-2</v>
      </c>
      <c r="C293" s="50">
        <f xml:space="preserve"> IF(A287 = "Founder(s) NOT Taxed (in gray below)",(C259+C272+C285)*B293,(C141+C259+C272+C285)*B293)</f>
        <v>0</v>
      </c>
      <c r="D293" s="50">
        <f xml:space="preserve"> IF(A287 = "Founder(s) NOT Taxed (in gray below)",(D259+D272+D285)*B293,(D141+D259+D272+D285)*B293)</f>
        <v>0</v>
      </c>
      <c r="E293" s="50">
        <f xml:space="preserve"> IF(A287 = "Founder(s) NOT Taxed (in gray below)",(E259+E272+E285)*B293,(E141+E259+E272+E285)*B293)</f>
        <v>0</v>
      </c>
      <c r="F293" s="50">
        <f xml:space="preserve"> IF(A287 = "Founder(s) NOT Taxed (in gray below)",(F259+F272+F285)*B293,(F141+F259+F272+F285)*B293)</f>
        <v>0</v>
      </c>
      <c r="G293" s="50">
        <f xml:space="preserve"> IF(A287 = "Founder(s) NOT Taxed (in gray below)",(G259+G272+G285)*B293,(G141+G259+G272+G285)*B293)</f>
        <v>0</v>
      </c>
      <c r="H293" s="50">
        <f xml:space="preserve"> IF(A287 = "Founder(s) NOT Taxed (in gray below)",(H259+H272+H285)*B293,(H141+H259+H272+H285)*B293)</f>
        <v>0</v>
      </c>
      <c r="I293" s="50">
        <f xml:space="preserve"> IF(A287 = "Founder(s) NOT Taxed (in gray below)",(I259+I272+I285)*B293,(I141+I259+I272+I285)*B293)</f>
        <v>0</v>
      </c>
      <c r="J293" s="50">
        <f xml:space="preserve"> IF(A287 = "Founder(s) NOT Taxed (in gray below)",(J259+J272+J285)*B293,(J141+J259+J272+J285)*B293)</f>
        <v>0</v>
      </c>
      <c r="K293" s="50">
        <f xml:space="preserve"> IF(A287 = "Founder(s) NOT Taxed (in gray below)",(K259+K272+K285)*B293,(K141+K259+K272+K285)*B293)</f>
        <v>0</v>
      </c>
      <c r="L293" s="50">
        <f xml:space="preserve"> IF(A287 = "Founder(s) NOT Taxed (in gray below)",(L259+L272+L285)*B293,(L141+L259+L272+L285)*B293)</f>
        <v>0</v>
      </c>
      <c r="M293" s="50">
        <f xml:space="preserve"> IF(A287 = "Founder(s) NOT Taxed (in gray below)",(M259+M272+M285)*B293,(M141+M259+M272+M285)*B293)</f>
        <v>0</v>
      </c>
      <c r="N293" s="50">
        <f xml:space="preserve"> IF(A287 = "Founder(s) NOT Taxed (in gray below)",(N259+N272+N285)*B293,(N141+N259+N272+N285)*B293)</f>
        <v>0</v>
      </c>
    </row>
    <row r="294" spans="1:14">
      <c r="A294" s="116" t="s">
        <v>185</v>
      </c>
      <c r="B294" s="4">
        <f>IF('Year 1'!B290&gt;0,'Year 1'!B290,"")</f>
        <v>102000</v>
      </c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</row>
    <row r="295" spans="1:14">
      <c r="A295" s="116" t="s">
        <v>186</v>
      </c>
      <c r="B295" s="73">
        <f>IF('Year 1'!B291&gt;0,'Year 1'!B291,"")</f>
        <v>1.4500000000000001E-2</v>
      </c>
      <c r="C295" s="50">
        <f xml:space="preserve"> IF(A287 = "Founder(s) NOT Taxed (in gray below)",(C259+C272+C285)*B295,(C141+C259+C272+C285)*B295)</f>
        <v>0</v>
      </c>
      <c r="D295" s="50">
        <f xml:space="preserve"> IF(A287 = "Founder(s) NOT Taxed (in gray below)",(D259+D272+D285)*B295,(D141+D259+D272+D285)*B295)</f>
        <v>0</v>
      </c>
      <c r="E295" s="50">
        <f xml:space="preserve"> IF(A287 = "Founder(s) NOT Taxed (in gray below)",(E259+E272+E285)*B295,(E141+E259+E272+E285)*B295)</f>
        <v>0</v>
      </c>
      <c r="F295" s="50">
        <f xml:space="preserve"> IF(A287 = "Founder(s) NOT Taxed (in gray below)",(F259+F272+F285)*B295,(F141+F259+F272+F285)*B295)</f>
        <v>0</v>
      </c>
      <c r="G295" s="50">
        <f xml:space="preserve"> IF(A287 = "Founder(s) NOT Taxed (in gray below)",(G259+G272+G285)*B295,(G141+G259+G272+G285)*B295)</f>
        <v>0</v>
      </c>
      <c r="H295" s="50">
        <f xml:space="preserve"> IF(A287 = "Founder(s) NOT Taxed (in gray below)",(H259+H272+H285)*B295,(H141+H259+H272+H285)*B295)</f>
        <v>0</v>
      </c>
      <c r="I295" s="50">
        <f xml:space="preserve"> IF(A287 = "Founder(s) NOT Taxed (in gray below)",(I259+I272+I285)*B295,(I141+I259+I272+I285)*B295)</f>
        <v>0</v>
      </c>
      <c r="J295" s="50">
        <f xml:space="preserve"> IF(A287 = "Founder(s) NOT Taxed (in gray below)",(J259+J272+J285)*B295,(J141+J259+J272+J285)*B295)</f>
        <v>0</v>
      </c>
      <c r="K295" s="50">
        <f xml:space="preserve"> IF(A287 = "Founder(s) NOT Taxed (in gray below)",(K259+K272+K285)*B295,(K141+K259+K272+K285)*B295)</f>
        <v>0</v>
      </c>
      <c r="L295" s="50">
        <f xml:space="preserve"> IF(A287 = "Founder(s) NOT Taxed (in gray below)",(L259+L272+L285)*B295,(L141+L259+L272+L285)*B295)</f>
        <v>0</v>
      </c>
      <c r="M295" s="50">
        <f xml:space="preserve"> IF(A287 = "Founder(s) NOT Taxed (in gray below)",(M259+M272+M285)*B295,(M141+M259+M272+M285)*B295)</f>
        <v>0</v>
      </c>
      <c r="N295" s="50">
        <f xml:space="preserve"> IF(A287 = "Founder(s) NOT Taxed (in gray below)",(N259+N272+N285)*B295,(N141+N259+N272+N285)*B295)</f>
        <v>0</v>
      </c>
    </row>
    <row r="296" spans="1:14">
      <c r="A296" s="116" t="s">
        <v>187</v>
      </c>
      <c r="B296" s="73">
        <f>IF('Year 1'!B292&gt;0,'Year 1'!B292,"")</f>
        <v>8.0000000000000002E-3</v>
      </c>
      <c r="C296" s="50">
        <f xml:space="preserve"> IF(A287 = "Founder(s) NOT Taxed (in gray below)",(C291-C287)*B296*B297,(C291)*B296*B297)</f>
        <v>0</v>
      </c>
      <c r="D296" s="50">
        <f xml:space="preserve"> IF(A287 = "Founder(s) NOT Taxed (in gray Below)",(D291-D287)*B296*B297,(D291)*B296*B297)</f>
        <v>0</v>
      </c>
      <c r="E296" s="50">
        <f xml:space="preserve"> IF(A287 = "Founder(s) NOT Taxed (in gray Below)",(E291-E287)*B296*B297,(E291)*B296*B297)</f>
        <v>0</v>
      </c>
      <c r="F296" s="50">
        <f xml:space="preserve"> IF(A287 = "Founder(s) NOT Taxed (in gray Below)",(F291-F287)*B296*B297,(F291)*B296*B297)</f>
        <v>0</v>
      </c>
      <c r="G296" s="50">
        <f xml:space="preserve"> IF(A287 = "Founder(s) NOT Taxed (in gray Below)",(G291-G287)*B296*B297,(G291)*B296*B297)</f>
        <v>0</v>
      </c>
      <c r="H296" s="50">
        <f xml:space="preserve"> IF(A287 = "Founder(s) NOT Taxed (in gray Below)",(H291-H287)*B296*B297,(H291)*B296*B297)</f>
        <v>0</v>
      </c>
      <c r="I296" s="50">
        <f xml:space="preserve"> IF(A287 = "Founder(s) NOT Taxed (in gray Below)",(I291-I287)*B296*B297,(I291)*B296*B297)</f>
        <v>0</v>
      </c>
      <c r="J296" s="50">
        <f xml:space="preserve"> IF(A287 = "Founder(s) NOT Taxed (in gray Below)",(J291-J287)*B296*B297,(J291)*B296*B297)</f>
        <v>0</v>
      </c>
      <c r="K296" s="50">
        <f xml:space="preserve"> IF(A287 = "Founder(s) NOT Taxed (in gray Below)",(K291-K287)*B296*B297,(K291)*B296*B297)</f>
        <v>0</v>
      </c>
      <c r="L296" s="50">
        <f xml:space="preserve"> IF(A287 = "Founder(s) NOT Taxed (in gray Below)",(L291-L287)*B296*B297,(L291)*B296*B297)</f>
        <v>0</v>
      </c>
      <c r="M296" s="50">
        <f xml:space="preserve"> IF(A287 = "Founder(s) NOT Taxed (in gray Below)",(M291-M287)*B296*B297,(M291)*B296*B297)</f>
        <v>0</v>
      </c>
      <c r="N296" s="50">
        <f xml:space="preserve"> IF(A287 = "Founder(s) NOT Taxed (in gray Below)",(N291-N287)*B296*B297,(N291)*B296*B297)</f>
        <v>0</v>
      </c>
    </row>
    <row r="297" spans="1:14">
      <c r="A297" s="116" t="s">
        <v>188</v>
      </c>
      <c r="B297" s="4">
        <f>IF('Year 1'!B293&gt;0,'Year 1'!B293,"")</f>
        <v>7000</v>
      </c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</row>
    <row r="298" spans="1:14">
      <c r="A298" s="116" t="s">
        <v>189</v>
      </c>
      <c r="B298" s="63">
        <v>8.0000000000000002E-3</v>
      </c>
      <c r="C298" s="50">
        <f xml:space="preserve"> IF(A287 = "Founder(s) NOT Taxed (in gray below)",(C291-C287)*B298*B299,(C291)*B298*B299)</f>
        <v>0</v>
      </c>
      <c r="D298" s="50">
        <f xml:space="preserve"> IF(A287 = "Founder(s) NOT Taxed (in gray Below)",(D291-D287)*B298*B299,(D291)*B298*B299)</f>
        <v>0</v>
      </c>
      <c r="E298" s="50">
        <f xml:space="preserve"> IF(A287 = "Founder(s) NOT Taxed (in gray Below)",(E291-E287)*B298*B299,(E291)*B298*B299)</f>
        <v>0</v>
      </c>
      <c r="F298" s="50">
        <f xml:space="preserve"> IF(A287 = "Founder(s) NOT Taxed (in gray Below)",(F291-F287)*B298*B299,(F291)*B298*B299)</f>
        <v>0</v>
      </c>
      <c r="G298" s="50">
        <f xml:space="preserve"> IF(A287 = "Founder(s) NOT Taxed (in gray Below)",(G291-G287)*B298*B299,(G291)*B298*B299)</f>
        <v>0</v>
      </c>
      <c r="H298" s="50">
        <f xml:space="preserve"> IF(A287 = "Founder(s) NOT Taxed (in gray Below)",(H291-H287)*B298*B299,(H291)*B298*B299)</f>
        <v>0</v>
      </c>
      <c r="I298" s="50">
        <f xml:space="preserve"> IF(A287 = "Founder(s) NOT Taxed (in gray Below)",(I291-I287)*B298*B299,(I291)*B298*B299)</f>
        <v>0</v>
      </c>
      <c r="J298" s="50">
        <f xml:space="preserve"> IF(A287 = "Founder(s) NOT Taxed (in gray Below)",(J291-J287)*B298*B299,(J291)*B298*B299)</f>
        <v>0</v>
      </c>
      <c r="K298" s="50">
        <f xml:space="preserve"> IF(A287 = "Founder(s) NOT Taxed (in gray Below)",(K291-K287)*B298*B299,(K291)*B298*B299)</f>
        <v>0</v>
      </c>
      <c r="L298" s="50">
        <f xml:space="preserve"> IF(A287 = "Founder(s) NOT Taxed (in gray Below)",(L291-L287)*B298*B299,(L291)*B298*B299)</f>
        <v>0</v>
      </c>
      <c r="M298" s="50">
        <f xml:space="preserve"> IF(A287 = "Founder(s) NOT Taxed (in gray Below)",(M291-M287)*B298*B299,(M291)*B298*B299)</f>
        <v>0</v>
      </c>
      <c r="N298" s="50">
        <f xml:space="preserve"> IF(A287 = "Founder(s) NOT Taxed (in gray Below)",(N291-N287)*B298*B299,(N291)*B298*B299)</f>
        <v>0</v>
      </c>
    </row>
    <row r="299" spans="1:14">
      <c r="A299" s="116" t="s">
        <v>190</v>
      </c>
      <c r="B299" s="4">
        <f>IF('Year 1'!B295&gt;0,'Year 1'!B295,"")</f>
        <v>7000</v>
      </c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</row>
    <row r="300" spans="1:14">
      <c r="A300" s="90" t="s">
        <v>191</v>
      </c>
      <c r="B300" s="4" t="str">
        <f>IF('Year 1'!B296&gt;0,'Year 1'!B296,"")</f>
        <v/>
      </c>
      <c r="C300" s="117"/>
      <c r="D300" s="117"/>
      <c r="E300" s="117"/>
      <c r="F300" s="117"/>
      <c r="G300" s="117"/>
      <c r="H300" s="117"/>
      <c r="I300" s="117"/>
      <c r="J300" s="117"/>
      <c r="K300" s="117"/>
      <c r="L300" s="117"/>
      <c r="M300" s="117"/>
      <c r="N300" s="117"/>
    </row>
    <row r="301" spans="1:14">
      <c r="A301" s="90" t="s">
        <v>192</v>
      </c>
      <c r="B301" s="4" t="str">
        <f>IF('Year 1'!B297&gt;0,'Year 1'!B297,"")</f>
        <v/>
      </c>
      <c r="C301" s="117"/>
      <c r="D301" s="117"/>
      <c r="E301" s="117"/>
      <c r="F301" s="117"/>
      <c r="G301" s="117"/>
      <c r="H301" s="117"/>
      <c r="I301" s="117"/>
      <c r="J301" s="117"/>
      <c r="K301" s="117"/>
      <c r="L301" s="117"/>
      <c r="M301" s="117"/>
      <c r="N301" s="117"/>
    </row>
    <row r="302" spans="1:14">
      <c r="A302" s="90" t="s">
        <v>193</v>
      </c>
      <c r="B302" s="4" t="str">
        <f>IF('Year 1'!B298&gt;0,'Year 1'!B298,"")</f>
        <v/>
      </c>
      <c r="C302" s="117"/>
      <c r="D302" s="117"/>
      <c r="E302" s="117"/>
      <c r="F302" s="117"/>
      <c r="G302" s="117"/>
      <c r="H302" s="117"/>
      <c r="I302" s="117"/>
      <c r="J302" s="117"/>
      <c r="K302" s="117"/>
      <c r="L302" s="117"/>
      <c r="M302" s="117"/>
      <c r="N302" s="117"/>
    </row>
    <row r="303" spans="1:14" ht="15" thickBot="1">
      <c r="A303" s="90" t="s">
        <v>194</v>
      </c>
      <c r="B303" s="4" t="str">
        <f>IF('Year 1'!B302&gt;0,'Year 1'!B302,"")</f>
        <v/>
      </c>
      <c r="C303" s="117"/>
      <c r="D303" s="117"/>
      <c r="E303" s="117"/>
      <c r="F303" s="117"/>
      <c r="G303" s="117"/>
      <c r="H303" s="117"/>
      <c r="I303" s="117"/>
      <c r="J303" s="117"/>
      <c r="K303" s="117"/>
      <c r="L303" s="117"/>
      <c r="M303" s="117"/>
      <c r="N303" s="117"/>
    </row>
    <row r="304" spans="1:14" ht="24" thickBot="1">
      <c r="B304" s="101" t="s">
        <v>58</v>
      </c>
      <c r="C304" s="93">
        <f>SUM(C293:C303)</f>
        <v>0</v>
      </c>
      <c r="D304" s="93">
        <f t="shared" ref="D304:N304" si="64">SUM(D293:D303)</f>
        <v>0</v>
      </c>
      <c r="E304" s="93">
        <f t="shared" si="64"/>
        <v>0</v>
      </c>
      <c r="F304" s="93">
        <f t="shared" si="64"/>
        <v>0</v>
      </c>
      <c r="G304" s="93">
        <f t="shared" si="64"/>
        <v>0</v>
      </c>
      <c r="H304" s="93">
        <f t="shared" si="64"/>
        <v>0</v>
      </c>
      <c r="I304" s="93">
        <f t="shared" si="64"/>
        <v>0</v>
      </c>
      <c r="J304" s="93">
        <f t="shared" si="64"/>
        <v>0</v>
      </c>
      <c r="K304" s="93">
        <f t="shared" si="64"/>
        <v>0</v>
      </c>
      <c r="L304" s="93">
        <f t="shared" si="64"/>
        <v>0</v>
      </c>
      <c r="M304" s="93">
        <f t="shared" si="64"/>
        <v>0</v>
      </c>
      <c r="N304" s="93">
        <f t="shared" si="64"/>
        <v>0</v>
      </c>
    </row>
  </sheetData>
  <sheetProtection formatCells="0" formatColumns="0" insertRows="0"/>
  <dataValidations count="3">
    <dataValidation type="whole" allowBlank="1" showInputMessage="1" showErrorMessage="1" promptTitle="Must be between 0-11" prompt="If payment if recieved the month the customer is booked, then put 0 or leave blank. If there is a delay between the deposit and delivery you can make the delay up to 11 months, which will mean the deposit and delivery will occur within one year.   " sqref="B94 B73 B52 B31 B10" xr:uid="{00000000-0002-0000-0400-000000000000}">
      <formula1>0</formula1>
      <formula2>11</formula2>
    </dataValidation>
    <dataValidation type="whole" allowBlank="1" showInputMessage="1" showErrorMessage="1" promptTitle="Must be between 0-11" prompt="You can add equal monthly installment paymnets.  Use 0 or leave blank if there are no installments.  If you make the number 11 then all the payments will be over a one year period." sqref="B74 B11 B32 B53 B95" xr:uid="{00000000-0002-0000-0400-000001000000}">
      <formula1>0</formula1>
      <formula2>11</formula2>
    </dataValidation>
    <dataValidation type="list" allowBlank="1" showInputMessage="1" showErrorMessage="1" sqref="A287" xr:uid="{00000000-0002-0000-0400-000002000000}">
      <formula1>"Founder(s) Are Taxed as Employees, Founder(s) NOT Taxed (in gray below)"</formula1>
    </dataValidation>
  </dataValidations>
  <pageMargins left="0.7" right="0.7" top="0.75" bottom="0.75" header="0.3" footer="0.3"/>
  <pageSetup orientation="portrait" r:id="rId1"/>
  <ignoredErrors>
    <ignoredError sqref="A287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V303"/>
  <sheetViews>
    <sheetView zoomScale="67" zoomScaleNormal="67" workbookViewId="0">
      <selection activeCell="B165" sqref="B165"/>
    </sheetView>
  </sheetViews>
  <sheetFormatPr defaultColWidth="9.140625" defaultRowHeight="14.45"/>
  <cols>
    <col min="1" max="1" width="37.28515625" style="2" customWidth="1"/>
    <col min="2" max="2" width="26" style="2" customWidth="1"/>
    <col min="3" max="3" width="17.85546875" style="2" bestFit="1" customWidth="1"/>
    <col min="4" max="4" width="18.140625" style="2" bestFit="1" customWidth="1"/>
    <col min="5" max="11" width="17" style="2" bestFit="1" customWidth="1"/>
    <col min="12" max="12" width="15.7109375" style="2" customWidth="1"/>
    <col min="13" max="13" width="16.7109375" style="2" bestFit="1" customWidth="1"/>
    <col min="14" max="14" width="15.5703125" style="2" bestFit="1" customWidth="1"/>
    <col min="15" max="15" width="14" style="2" bestFit="1" customWidth="1"/>
    <col min="16" max="16" width="14.42578125" style="2" bestFit="1" customWidth="1"/>
    <col min="17" max="23" width="15.5703125" style="2" bestFit="1" customWidth="1"/>
    <col min="24" max="24" width="17" style="2" bestFit="1" customWidth="1"/>
    <col min="25" max="25" width="16.7109375" style="2" bestFit="1" customWidth="1"/>
    <col min="26" max="33" width="17" style="2" bestFit="1" customWidth="1"/>
    <col min="34" max="34" width="17.28515625" style="2" bestFit="1" customWidth="1"/>
    <col min="35" max="35" width="17" style="2" bestFit="1" customWidth="1"/>
    <col min="36" max="36" width="17.28515625" style="2" bestFit="1" customWidth="1"/>
    <col min="37" max="37" width="16.5703125" style="2" bestFit="1" customWidth="1"/>
    <col min="38" max="38" width="16.28515625" style="2" customWidth="1"/>
    <col min="39" max="39" width="16.5703125" style="2" bestFit="1" customWidth="1"/>
    <col min="40" max="47" width="9.140625" style="2"/>
    <col min="48" max="48" width="13" style="2" customWidth="1"/>
    <col min="49" max="16384" width="9.140625" style="2"/>
  </cols>
  <sheetData>
    <row r="1" spans="1:48" ht="33.6">
      <c r="A1" s="83" t="s">
        <v>209</v>
      </c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</row>
    <row r="2" spans="1:48" ht="15" thickBot="1">
      <c r="C2" s="85">
        <f>C7</f>
        <v>45658</v>
      </c>
      <c r="D2" s="85">
        <f t="shared" ref="D2:N2" si="0">D7</f>
        <v>45689</v>
      </c>
      <c r="E2" s="85">
        <f t="shared" si="0"/>
        <v>45717</v>
      </c>
      <c r="F2" s="85">
        <f t="shared" si="0"/>
        <v>45748</v>
      </c>
      <c r="G2" s="85">
        <f t="shared" si="0"/>
        <v>45778</v>
      </c>
      <c r="H2" s="85">
        <f t="shared" si="0"/>
        <v>45809</v>
      </c>
      <c r="I2" s="85">
        <f t="shared" si="0"/>
        <v>45839</v>
      </c>
      <c r="J2" s="85">
        <f t="shared" si="0"/>
        <v>45870</v>
      </c>
      <c r="K2" s="85">
        <f t="shared" si="0"/>
        <v>45901</v>
      </c>
      <c r="L2" s="85">
        <f t="shared" si="0"/>
        <v>45931</v>
      </c>
      <c r="M2" s="85">
        <f t="shared" si="0"/>
        <v>45962</v>
      </c>
      <c r="N2" s="85">
        <f t="shared" si="0"/>
        <v>45992</v>
      </c>
    </row>
    <row r="3" spans="1:48" ht="24" thickBot="1">
      <c r="A3" s="84" t="s">
        <v>208</v>
      </c>
      <c r="B3" s="42"/>
      <c r="C3" s="118">
        <f>'Year 1'!AA109</f>
        <v>0</v>
      </c>
      <c r="D3" s="118">
        <f>'Year 1'!AB109</f>
        <v>0</v>
      </c>
      <c r="E3" s="118">
        <f>'Year 1'!AC109</f>
        <v>0</v>
      </c>
      <c r="F3" s="118">
        <f>'Year 1'!AD109</f>
        <v>0</v>
      </c>
      <c r="G3" s="118">
        <f>'Year 1'!AE109</f>
        <v>0</v>
      </c>
      <c r="H3" s="118">
        <f>'Year 1'!AF109</f>
        <v>0</v>
      </c>
      <c r="I3" s="118">
        <f>'Year 1'!AG109</f>
        <v>0</v>
      </c>
      <c r="J3" s="118">
        <f>'Year 1'!AH109</f>
        <v>0</v>
      </c>
      <c r="K3" s="118">
        <f>'Year 1'!AI109</f>
        <v>0</v>
      </c>
      <c r="L3" s="118">
        <f>'Year 1'!AJ109</f>
        <v>0</v>
      </c>
      <c r="M3" s="91"/>
      <c r="N3" s="91"/>
    </row>
    <row r="4" spans="1:48" ht="24" thickBot="1">
      <c r="A4" s="84" t="s">
        <v>210</v>
      </c>
      <c r="B4" s="42"/>
      <c r="C4" s="118">
        <f>'Year 2'!O112</f>
        <v>0</v>
      </c>
      <c r="D4" s="118">
        <f>'Year 2'!P112</f>
        <v>0</v>
      </c>
      <c r="E4" s="118">
        <f>'Year 2'!Q112</f>
        <v>0</v>
      </c>
      <c r="F4" s="118">
        <f>'Year 2'!R112</f>
        <v>0</v>
      </c>
      <c r="G4" s="118">
        <f>'Year 2'!S112</f>
        <v>0</v>
      </c>
      <c r="H4" s="118">
        <f>'Year 2'!T112</f>
        <v>0</v>
      </c>
      <c r="I4" s="118">
        <f>'Year 2'!U112</f>
        <v>0</v>
      </c>
      <c r="J4" s="118">
        <f>'Year 2'!V112</f>
        <v>0</v>
      </c>
      <c r="K4" s="118">
        <f>'Year 2'!W112</f>
        <v>0</v>
      </c>
      <c r="L4" s="118">
        <f>'Year 2'!X112</f>
        <v>0</v>
      </c>
      <c r="M4" s="118">
        <f>'Year 2'!Y112</f>
        <v>0</v>
      </c>
      <c r="N4" s="118">
        <f>'Year 2'!Z112</f>
        <v>0</v>
      </c>
    </row>
    <row r="5" spans="1:48" ht="15.75" customHeight="1">
      <c r="A5" s="76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48" ht="23.45">
      <c r="A6" s="84" t="s">
        <v>78</v>
      </c>
      <c r="B6" s="4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AV6" s="1"/>
    </row>
    <row r="7" spans="1:48">
      <c r="A7" s="86" t="str">
        <f>IF('Reverse Engineering Valuation'!A27 = "","    ---    ",'Reverse Engineering Valuation'!A27)</f>
        <v>Kilter Tilter - Consumer Version</v>
      </c>
      <c r="B7" s="87" t="str">
        <f>IF(ROUND(B13,1)&gt;0,CONCATENATE("Under by ",ROUND(B13,1)), IF(ROUND(B13,1)&lt;0, CONCATENATE("OVER BY ",ROUND(B13,1)), "You Matched"))</f>
        <v>Under by 350</v>
      </c>
      <c r="C7" s="85">
        <f>DATE('Pro Forma'!C3+2,'Pro Forma'!C4,1)</f>
        <v>45658</v>
      </c>
      <c r="D7" s="85">
        <f>DATE('Pro Forma'!C3+2,'Pro Forma'!C4+1,1)</f>
        <v>45689</v>
      </c>
      <c r="E7" s="85">
        <f>DATE('Pro Forma'!C3+2,'Pro Forma'!C4+2,1)</f>
        <v>45717</v>
      </c>
      <c r="F7" s="85">
        <f>DATE('Pro Forma'!C3+2,'Pro Forma'!C4+3,1)</f>
        <v>45748</v>
      </c>
      <c r="G7" s="85">
        <f>DATE('Pro Forma'!C3+2,'Pro Forma'!C4+4,1)</f>
        <v>45778</v>
      </c>
      <c r="H7" s="85">
        <f>DATE('Pro Forma'!C3+2,'Pro Forma'!C4+5,1)</f>
        <v>45809</v>
      </c>
      <c r="I7" s="85">
        <f>DATE('Pro Forma'!C3+2,'Pro Forma'!C4+6,1)</f>
        <v>45839</v>
      </c>
      <c r="J7" s="85">
        <f>DATE('Pro Forma'!C3+2,'Pro Forma'!C4+7,1)</f>
        <v>45870</v>
      </c>
      <c r="K7" s="85">
        <f>DATE('Pro Forma'!C3+2,'Pro Forma'!C4+8,1)</f>
        <v>45901</v>
      </c>
      <c r="L7" s="85">
        <f>DATE('Pro Forma'!C3+2,'Pro Forma'!C4+9,1)</f>
        <v>45931</v>
      </c>
      <c r="M7" s="85">
        <f>DATE('Pro Forma'!C3+2,'Pro Forma'!C4+10,1)</f>
        <v>45962</v>
      </c>
      <c r="N7" s="85">
        <f>DATE('Pro Forma'!C3+2,'Pro Forma'!C4+11,1)</f>
        <v>45992</v>
      </c>
      <c r="O7" s="88" t="str">
        <f t="shared" ref="O7:AJ7" si="1" xml:space="preserve">  CONCATENATE("Ext +", COLUMN()-14)</f>
        <v>Ext +1</v>
      </c>
      <c r="P7" s="88" t="str">
        <f t="shared" si="1"/>
        <v>Ext +2</v>
      </c>
      <c r="Q7" s="88" t="str">
        <f t="shared" si="1"/>
        <v>Ext +3</v>
      </c>
      <c r="R7" s="88" t="str">
        <f t="shared" si="1"/>
        <v>Ext +4</v>
      </c>
      <c r="S7" s="88" t="str">
        <f t="shared" si="1"/>
        <v>Ext +5</v>
      </c>
      <c r="T7" s="88" t="str">
        <f t="shared" si="1"/>
        <v>Ext +6</v>
      </c>
      <c r="U7" s="88" t="str">
        <f t="shared" si="1"/>
        <v>Ext +7</v>
      </c>
      <c r="V7" s="88" t="str">
        <f t="shared" si="1"/>
        <v>Ext +8</v>
      </c>
      <c r="W7" s="88" t="str">
        <f t="shared" si="1"/>
        <v>Ext +9</v>
      </c>
      <c r="X7" s="88" t="str">
        <f t="shared" si="1"/>
        <v>Ext +10</v>
      </c>
      <c r="Y7" s="88" t="str">
        <f t="shared" si="1"/>
        <v>Ext +11</v>
      </c>
      <c r="Z7" s="88" t="str">
        <f t="shared" si="1"/>
        <v>Ext +12</v>
      </c>
      <c r="AA7" s="89" t="str">
        <f t="shared" si="1"/>
        <v>Ext +13</v>
      </c>
      <c r="AB7" s="89" t="str">
        <f t="shared" si="1"/>
        <v>Ext +14</v>
      </c>
      <c r="AC7" s="89" t="str">
        <f t="shared" si="1"/>
        <v>Ext +15</v>
      </c>
      <c r="AD7" s="89" t="str">
        <f t="shared" si="1"/>
        <v>Ext +16</v>
      </c>
      <c r="AE7" s="89" t="str">
        <f t="shared" si="1"/>
        <v>Ext +17</v>
      </c>
      <c r="AF7" s="89" t="str">
        <f t="shared" si="1"/>
        <v>Ext +18</v>
      </c>
      <c r="AG7" s="89" t="str">
        <f t="shared" si="1"/>
        <v>Ext +19</v>
      </c>
      <c r="AH7" s="89" t="str">
        <f t="shared" si="1"/>
        <v>Ext +20</v>
      </c>
      <c r="AI7" s="89" t="str">
        <f t="shared" si="1"/>
        <v>Ext +21</v>
      </c>
      <c r="AJ7" s="89" t="str">
        <f t="shared" si="1"/>
        <v>Ext +22</v>
      </c>
      <c r="AV7" s="1"/>
    </row>
    <row r="8" spans="1:48">
      <c r="A8" s="90" t="s">
        <v>79</v>
      </c>
      <c r="B8" s="50">
        <f>'Reverse Engineering Valuation'!B27</f>
        <v>2999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1"/>
      <c r="AL8" s="1"/>
      <c r="AV8" s="1">
        <f>SUM(C8:AK8)*B8</f>
        <v>0</v>
      </c>
    </row>
    <row r="9" spans="1:48">
      <c r="A9" s="90" t="s">
        <v>80</v>
      </c>
      <c r="B9" s="52"/>
      <c r="C9" s="50" t="str">
        <f>IF(C8*B9*B8,C8*B9*B8,"")</f>
        <v/>
      </c>
      <c r="D9" s="50" t="str">
        <f>IF(D8*B9*B8,D8*B9*B8,"")</f>
        <v/>
      </c>
      <c r="E9" s="50" t="str">
        <f>IF(E8*B9*B8,E8*B9*B8,"")</f>
        <v/>
      </c>
      <c r="F9" s="50" t="str">
        <f>IF(F8*B9*B8,F8*B9*B8,"")</f>
        <v/>
      </c>
      <c r="G9" s="50" t="str">
        <f>IF(G8*B9*B8,G8*B9*B8,"")</f>
        <v/>
      </c>
      <c r="H9" s="50" t="str">
        <f>IF(H8*B9*B8,H8*B9*B8,"")</f>
        <v/>
      </c>
      <c r="I9" s="50" t="str">
        <f>IF(I8*B9*B8,I8*B9*B8,"")</f>
        <v/>
      </c>
      <c r="J9" s="50" t="str">
        <f>IF(J8*B9*B8,J8*B9*B8,"")</f>
        <v/>
      </c>
      <c r="K9" s="50" t="str">
        <f>IF(K8*B9*B8,K8*B9*B8,"")</f>
        <v/>
      </c>
      <c r="L9" s="50" t="str">
        <f>IF(L8*B9*B8,L8*B9*B8,"")</f>
        <v/>
      </c>
      <c r="M9" s="50" t="str">
        <f>IF(M8*B9*B8,M8*B9*B8,"")</f>
        <v/>
      </c>
      <c r="N9" s="50" t="str">
        <f>IF(N8*B9*B8,N8*B9*B8,"")</f>
        <v/>
      </c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1"/>
      <c r="AV9" s="1">
        <f>SUM(C9:AK9)</f>
        <v>0</v>
      </c>
    </row>
    <row r="10" spans="1:48">
      <c r="A10" s="90" t="s">
        <v>81</v>
      </c>
      <c r="B10" s="53"/>
      <c r="C10" s="50" t="str">
        <f>IF(IF((COLUMN()-2-B10)&gt;0,INDEX(C8:Z8,1, (COLUMN()-2-B10)),0)&gt;=1,(B8* IF((COLUMN()-2-B10)&gt;0,INDEX(C8:Z8,1, (COLUMN()-2-B10)),0)*(1-B9))/(B11+1),"")</f>
        <v/>
      </c>
      <c r="D10" s="50" t="str">
        <f>IF(IF((COLUMN()-2-B10)&gt;0,INDEX(C8:Z8,1, (COLUMN()-2-B10)),0)&gt;=1,(B8* IF((COLUMN()-2-B10)&gt;0,INDEX(C8:Z8,1, (COLUMN()-2-B10)),0)*(1-B9))/(B11+1),"")</f>
        <v/>
      </c>
      <c r="E10" s="50" t="str">
        <f>IF(IF((COLUMN()-2-B10)&gt;0,INDEX(C8:Z8,1, (COLUMN()-2-B10)),0)&gt;=1,(B8* IF((COLUMN()-2-B10)&gt;0,INDEX(C8:Z8,1, (COLUMN()-2-B10)),0)*(1-B9))/(B11+1),"")</f>
        <v/>
      </c>
      <c r="F10" s="50" t="str">
        <f>IF(IF((COLUMN()-2-B10)&gt;0,INDEX(C8:Z8,1, (COLUMN()-2-B10)),0)&gt;=1,(B8* IF((COLUMN()-2-B10)&gt;0,INDEX(C8:Z8,1, (COLUMN()-2-B10)),0)*(1-B9))/(B11+1),"")</f>
        <v/>
      </c>
      <c r="G10" s="50" t="str">
        <f>IF(IF((COLUMN()-2-B10)&gt;0,INDEX(C8:Z8,1, (COLUMN()-2-B10)),0)&gt;=1,(B8* IF((COLUMN()-2-B10)&gt;0,INDEX(C8:Z8,1, (COLUMN()-2-B10)),0)*(1-B9))/(B11+1),"")</f>
        <v/>
      </c>
      <c r="H10" s="50" t="str">
        <f>IF(IF((COLUMN()-2-B10)&gt;0,INDEX(C8:Z8,1, (COLUMN()-2-B10)),0)&gt;=1,(B8* IF((COLUMN()-2-B10)&gt;0,INDEX(C8:Z8,1, (COLUMN()-2-B10)),0)*(1-B9))/(B11+1),"")</f>
        <v/>
      </c>
      <c r="I10" s="50" t="str">
        <f>IF(IF((COLUMN()-2-B10)&gt;0,INDEX(C8:Z8,1, (COLUMN()-2-B10)),0)&gt;=1,(B8* IF((COLUMN()-2-B10)&gt;0,INDEX(C8:Z8,1, (COLUMN()-2-B10)),0)*(1-B9))/(B11+1),"")</f>
        <v/>
      </c>
      <c r="J10" s="50" t="str">
        <f>IF(IF((COLUMN()-2-B10)&gt;0,INDEX(C8:Z8,1, (COLUMN()-2-B10)),0)&gt;=1,(B8* IF((COLUMN()-2-B10)&gt;0,INDEX(C8:Z8,1, (COLUMN()-2-B10)),0)*(1-B9))/(B11+1),"")</f>
        <v/>
      </c>
      <c r="K10" s="50" t="str">
        <f>IF(IF((COLUMN()-2-B10)&gt;0,INDEX(C8:Z8,1, (COLUMN()-2-B10)),0)&gt;=1,(B8* IF((COLUMN()-2-B10)&gt;0,INDEX(C8:Z8,1, (COLUMN()-2-B10)),0)*(1-B9))/(B11+1),"")</f>
        <v/>
      </c>
      <c r="L10" s="50" t="str">
        <f>IF(IF((COLUMN()-2-B10)&gt;0,INDEX(C8:Z8,1, (COLUMN()-2-B10)),0)&gt;=1,(B8* IF((COLUMN()-2-B10)&gt;0,INDEX(C8:Z8,1, (COLUMN()-2-B10)),0)*(1-B9))/(B11+1),"")</f>
        <v/>
      </c>
      <c r="M10" s="50" t="str">
        <f>IF(IF((COLUMN()-2-B10)&gt;0,INDEX(C8:Z8,1, (COLUMN()-2-B10)),0)&gt;=1,(B8* IF((COLUMN()-2-B10)&gt;0,INDEX(C8:Z8,1, (COLUMN()-2-B10)),0)*(1-B9))/(B11+1),"")</f>
        <v/>
      </c>
      <c r="N10" s="50" t="str">
        <f>IF(IF((COLUMN()-2-B10)&gt;0,INDEX(C8:Z8,1, (COLUMN()-2-B10)),0)&gt;=1,(B8* IF((COLUMN()-2-B10)&gt;0,INDEX(C8:Z8,1, (COLUMN()-2-B10)),0)*(1-B9))/(B11+1),"")</f>
        <v/>
      </c>
      <c r="O10" s="72" t="str">
        <f>IF(IF((COLUMN()-2-B10)&gt;0,INDEX(C8:Z8,1, (COLUMN()-2-B10)),0)&gt;=1,(B8* IF((COLUMN()-2-B10)&gt;0,INDEX(C8:Z8,1, (COLUMN()-2-B10)),0)*(1-B9))/(B11+1),"")</f>
        <v/>
      </c>
      <c r="P10" s="72" t="str">
        <f>IF(IF((COLUMN()-2-B10)&gt;0,INDEX(C8:Z8,1, (COLUMN()-2-B10)),0)&gt;=1,(B8* IF((COLUMN()-2-B10)&gt;0,INDEX(C8:Z8,1, (COLUMN()-2-B10)),0)*(1-B9))/(B11+1),"")</f>
        <v/>
      </c>
      <c r="Q10" s="72" t="str">
        <f>IF(IF((COLUMN()-2-B10)&gt;0,INDEX(C8:Z8,1, (COLUMN()-2-B10)),0)&gt;=1,(B8* IF((COLUMN()-2-B10)&gt;0,INDEX(C8:Z8,1, (COLUMN()-2-B10)),0)*(1-B9))/(B11+1),"")</f>
        <v/>
      </c>
      <c r="R10" s="72" t="str">
        <f>IF(IF((COLUMN()-2-B10)&gt;0,INDEX(C8:Z8,1, (COLUMN()-2-B10)),0)&gt;=1,(B8* IF((COLUMN()-2-B10)&gt;0,INDEX(C8:Z8,1, (COLUMN()-2-B10)),0)*(1-B9))/(B11+1),"")</f>
        <v/>
      </c>
      <c r="S10" s="72" t="str">
        <f>IF(IF((COLUMN()-2-B10)&gt;0,INDEX(C8:Z8,1, (COLUMN()-2-B10)),0)&gt;=1,(B8* IF((COLUMN()-2-B10)&gt;0,INDEX(C8:Z8,1, (COLUMN()-2-B10)),0)*(1-B9))/(B11+1),"")</f>
        <v/>
      </c>
      <c r="T10" s="72" t="str">
        <f>IF(IF((COLUMN()-2-B10)&gt;0,INDEX(C8:Z8,1, (COLUMN()-2-B10)),0)&gt;=1,(B8* IF((COLUMN()-2-B10)&gt;0,INDEX(C8:Z8,1, (COLUMN()-2-B10)),0)*(1-B9))/(B11+1),"")</f>
        <v/>
      </c>
      <c r="U10" s="72" t="str">
        <f>IF(IF((COLUMN()-2-B10)&gt;0,INDEX(C8:Z8,1, (COLUMN()-2-B10)),0)&gt;=1,(B8* IF((COLUMN()-2-B10)&gt;0,INDEX(C8:Z8,1, (COLUMN()-2-B10)),0)*(1-B9))/(B11+1),"")</f>
        <v/>
      </c>
      <c r="V10" s="72" t="str">
        <f>IF(IF((COLUMN()-2-B10)&gt;0,INDEX(C8:Z8,1, (COLUMN()-2-B10)),0)&gt;=1,(B8* IF((COLUMN()-2-B10)&gt;0,INDEX(C8:Z8,1, (COLUMN()-2-B10)),0)*(1-B9))/(B11+1),"")</f>
        <v/>
      </c>
      <c r="W10" s="72" t="str">
        <f>IF(IF((COLUMN()-2-B10)&gt;0,INDEX(C8:Z8,1, (COLUMN()-2-B10)),0)&gt;=1,(B8* IF((COLUMN()-2-B10)&gt;0,INDEX(C8:Z8,1, (COLUMN()-2-B10)),0)*(1-B9))/(B11+1),"")</f>
        <v/>
      </c>
      <c r="X10" s="72" t="str">
        <f>IF(IF((COLUMN()-2-B10)&gt;0,INDEX(C8:Z8,1, (COLUMN()-2-B10)),0)&gt;=1,(B8* IF((COLUMN()-2-B10)&gt;0,INDEX(C8:Z8,1, (COLUMN()-2-B10)),0)*(1-B9))/(B11+1),"")</f>
        <v/>
      </c>
      <c r="Y10" s="72" t="str">
        <f>IF(IF((COLUMN()-2-B10)&gt;0,INDEX(C8:Z8,1, (COLUMN()-2-B10)),0)&gt;=1,(B8* IF((COLUMN()-2-B10)&gt;0,INDEX(C8:Z8,1, (COLUMN()-2-B10)),0)*(1-B9))/(B11+1),"")</f>
        <v/>
      </c>
      <c r="Z10" s="91" t="str">
        <f>IF(IF((COLUMN()-2-B10)&gt;0,INDEX(C8:Z8,1, (COLUMN()-2-B10)),0)&gt;=1,(B8* IF((COLUMN()-2-B10)&gt;0,INDEX(C8:Z8,1, (COLUMN()-2-B10)),0)*(1-B9))/(B11+1),"")</f>
        <v/>
      </c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1"/>
      <c r="AV10" s="1">
        <f>SUM(C10:AK10)</f>
        <v>0</v>
      </c>
    </row>
    <row r="11" spans="1:48">
      <c r="A11" s="90" t="s">
        <v>82</v>
      </c>
      <c r="B11" s="53"/>
      <c r="C11" s="91"/>
      <c r="D11" s="50" t="str">
        <f>IF(SUM(D12),SUM(D12),"")</f>
        <v/>
      </c>
      <c r="E11" s="50" t="str">
        <f>IF(SUM(E12:E13),SUM(E12:E13),"")</f>
        <v/>
      </c>
      <c r="F11" s="50" t="str">
        <f>IF(SUM(F12:F14),SUM(F12:F14),"")</f>
        <v/>
      </c>
      <c r="G11" s="50" t="str">
        <f>IF(SUM(G12:G15),SUM(G12:G15),"")</f>
        <v/>
      </c>
      <c r="H11" s="50" t="str">
        <f>IF(SUM(H12:H16),SUM(H12:H16),"")</f>
        <v/>
      </c>
      <c r="I11" s="50" t="str">
        <f>IF(SUM(I12:I17),SUM(I12:I17),"")</f>
        <v/>
      </c>
      <c r="J11" s="50" t="str">
        <f>IF(SUM(J12:J18),SUM(J12:J18),"")</f>
        <v/>
      </c>
      <c r="K11" s="50" t="str">
        <f>IF(SUM(K12:K19),SUM(K12:K19),"")</f>
        <v/>
      </c>
      <c r="L11" s="50" t="str">
        <f>IF(SUM(L12:L20),SUM(L12:L20),"")</f>
        <v/>
      </c>
      <c r="M11" s="50" t="str">
        <f>IF(SUM(M12:M21),SUM(M12:M21),"")</f>
        <v/>
      </c>
      <c r="N11" s="50" t="str">
        <f>IF(SUM(N12:N22),SUM(N12:N22),"")</f>
        <v/>
      </c>
      <c r="O11" s="72" t="str">
        <f t="shared" ref="O11:Z11" si="2">IF(SUM(O12:O23),SUM(O12:O23),"")</f>
        <v/>
      </c>
      <c r="P11" s="72" t="str">
        <f t="shared" si="2"/>
        <v/>
      </c>
      <c r="Q11" s="72" t="str">
        <f t="shared" si="2"/>
        <v/>
      </c>
      <c r="R11" s="72" t="str">
        <f t="shared" si="2"/>
        <v/>
      </c>
      <c r="S11" s="72" t="str">
        <f t="shared" si="2"/>
        <v/>
      </c>
      <c r="T11" s="72" t="str">
        <f t="shared" si="2"/>
        <v/>
      </c>
      <c r="U11" s="72" t="str">
        <f t="shared" si="2"/>
        <v/>
      </c>
      <c r="V11" s="72" t="str">
        <f t="shared" si="2"/>
        <v/>
      </c>
      <c r="W11" s="72" t="str">
        <f t="shared" si="2"/>
        <v/>
      </c>
      <c r="X11" s="72" t="str">
        <f t="shared" si="2"/>
        <v/>
      </c>
      <c r="Y11" s="72" t="str">
        <f t="shared" si="2"/>
        <v/>
      </c>
      <c r="Z11" s="72" t="str">
        <f t="shared" si="2"/>
        <v/>
      </c>
      <c r="AA11" s="74" t="str">
        <f>IF(SUM(AA14:AA23),SUM(AA14:AA23),"")</f>
        <v/>
      </c>
      <c r="AB11" s="74" t="str">
        <f>IF(SUM(AB15:AB23),SUM(AB15:AB23),"")</f>
        <v/>
      </c>
      <c r="AC11" s="74" t="str">
        <f>IF(SUM(AC16:AC23),SUM(AC16:AC23),"")</f>
        <v/>
      </c>
      <c r="AD11" s="74" t="str">
        <f>IF(SUM(AD17:AD23),SUM(AD17:AD23),"")</f>
        <v/>
      </c>
      <c r="AE11" s="74" t="str">
        <f>IF(SUM(AE18:AE23),SUM(AE18:AE23),"")</f>
        <v/>
      </c>
      <c r="AF11" s="74" t="str">
        <f>IF(SUM(AF19:AF23),SUM(AF19:AF23),"")</f>
        <v/>
      </c>
      <c r="AG11" s="74" t="str">
        <f>IF(SUM(AG20:AG23),SUM(AG20:AG23),"")</f>
        <v/>
      </c>
      <c r="AH11" s="74" t="str">
        <f>IF(SUM(AH21:AH23),SUM(AH21:AH23),"")</f>
        <v/>
      </c>
      <c r="AI11" s="74" t="str">
        <f>IF(SUM(AI22:AI23),SUM(AI22:AI23),"")</f>
        <v/>
      </c>
      <c r="AJ11" s="74" t="str">
        <f>IF(SUM(AJ23),SUM(AJ23),"")</f>
        <v/>
      </c>
      <c r="AK11" s="1"/>
      <c r="AL11" s="1"/>
      <c r="AV11" s="1">
        <f>SUM(C11:AK11)</f>
        <v>0</v>
      </c>
    </row>
    <row r="12" spans="1:48" hidden="1">
      <c r="A12" s="90" t="s">
        <v>83</v>
      </c>
      <c r="B12" s="51">
        <f>IF('Reverse Engineering Valuation'!F27,'Reverse Engineering Valuation'!H27,'Reverse Engineering Valuation'!E27)</f>
        <v>350</v>
      </c>
      <c r="C12" s="91"/>
      <c r="D12" s="50" t="str">
        <f>IF(OR(NOT(C8),(COLUMN()-3)-(B10+1)&lt;0,(B10+1+B11) - (COLUMN()-2) &lt;0),"",C8*(1-B9)/(B11+1)*B8)</f>
        <v/>
      </c>
      <c r="E12" s="50" t="str">
        <f>IF(OR(NOT(C8),(COLUMN()-3)-(B10+1)&lt;0,(B10+1+B11) - (COLUMN()-2) &lt;0),"",C8*(1-B9)/(B11+1)*B8)</f>
        <v/>
      </c>
      <c r="F12" s="50" t="str">
        <f>IF(OR(NOT(C8),(COLUMN()-3)-(B10+1)&lt;0,(B10+1+B11) - (COLUMN()-2) &lt;0),"",C8*(1-B9)/(B11+1)*B8)</f>
        <v/>
      </c>
      <c r="G12" s="50" t="str">
        <f>IF(OR(NOT(C8),(COLUMN()-3)-(B10+1)&lt;0,(B10+1+B11) - (COLUMN()-2) &lt;0),"",C8*(1-B9)/(B11+1)*B8)</f>
        <v/>
      </c>
      <c r="H12" s="50" t="str">
        <f>IF(OR(NOT(C8),(COLUMN()-3)-(B10+1)&lt;0,(B10+1+B11) - (COLUMN()-2) &lt;0),"",C8*(1-B9)/(B11+1)*B8)</f>
        <v/>
      </c>
      <c r="I12" s="50" t="str">
        <f>IF(OR(NOT(C8),(COLUMN()-3)-(B10+1)&lt;0,(B10+1+B11) - (COLUMN()-2) &lt;0),"",C8*(1-B9)/(B11+1)*B8)</f>
        <v/>
      </c>
      <c r="J12" s="50" t="str">
        <f>IF(OR(NOT(C8),(COLUMN()-3)-(B10+1)&lt;0,(B10+1+B11) - (COLUMN()-2) &lt;0),"",C8*(1-B9)/(B11+1)*B8)</f>
        <v/>
      </c>
      <c r="K12" s="50" t="str">
        <f>IF(OR(NOT(C8),(COLUMN()-3)-(B10+1)&lt;0,(B10+1+B11) - (COLUMN()-2) &lt;0),"",C8*(1-B9)/(B11+1)*B8)</f>
        <v/>
      </c>
      <c r="L12" s="50" t="str">
        <f>IF(OR(NOT(C8),(COLUMN()-3)-(B10+1)&lt;0,(B10+1+B11) - (COLUMN()-2) &lt;0),"",C8*(1-B9)/(B11+1)*B8)</f>
        <v/>
      </c>
      <c r="M12" s="50" t="str">
        <f>IF(OR(NOT(C8),(COLUMN()-3)-(B10+1)&lt;0,(B10+1+B11) - (COLUMN()-2) &lt;0),"",C8*(1-B9)/(B11+1)*B8)</f>
        <v/>
      </c>
      <c r="N12" s="50" t="str">
        <f>IF(OR(NOT(C8),(COLUMN()-3)-(B10+1)&lt;0,(B10+1+B11) - (COLUMN()-2) &lt;0),"",C8*(1-B9)/(B11+1)*B8)</f>
        <v/>
      </c>
      <c r="O12" s="72" t="str">
        <f>IF(OR(NOT(C8),(COLUMN()-3)-(B10+1)&lt;0,(B10+1+B11) - (COLUMN()-2) &lt;0),"",C8*(1-B9)/(B11+1)*B8)</f>
        <v/>
      </c>
      <c r="P12" s="72" t="str">
        <f>IF(OR(NOT(C8),(COLUMN()-3)-(B10+1)&lt;0,(B10+1+B11) - (COLUMN()-2) &lt;0),"",C8*(1-B9)/(B11+1)*B8)</f>
        <v/>
      </c>
      <c r="Q12" s="72" t="str">
        <f>IF(OR(NOT(C8),(COLUMN()-3)-(B10+1)&lt;0,(B10+1+B11) - (COLUMN()-2) &lt;0),"",C8*(1-B9)/(B11+1)*B8)</f>
        <v/>
      </c>
      <c r="R12" s="72" t="str">
        <f>IF(OR(NOT(C8),(COLUMN()-3)-(B10+1)&lt;0,(B10+1+B11) - (COLUMN()-2) &lt;0),"",C8*(1-B9)/(B11+1)*B8)</f>
        <v/>
      </c>
      <c r="S12" s="72" t="str">
        <f>IF(OR(NOT(C8),(COLUMN()-3)-(B10+1)&lt;0,(B10+1+B11) - (COLUMN()-2) &lt;0),"",C8*(1-B9)/(B11+1)*B8)</f>
        <v/>
      </c>
      <c r="T12" s="72" t="str">
        <f>IF(OR(NOT(C8),(COLUMN()-3)-(B10+1)&lt;0,(B10+1+B11) - (COLUMN()-2) &lt;0),"",C8*(1-B9)/(B11+1)*B8)</f>
        <v/>
      </c>
      <c r="U12" s="72" t="str">
        <f>IF(OR(NOT(C8),(COLUMN()-3)-(B10+1)&lt;0,(B10+1+B11) - (COLUMN()-2) &lt;0),"",C8*(1-B9)/(B11+1)*B8)</f>
        <v/>
      </c>
      <c r="V12" s="72" t="str">
        <f>IF(OR(NOT(C8),(COLUMN()-3)-(B10+1)&lt;0,(B10+1+B11) - (COLUMN()-2) &lt;0),"",C8*(1-B9)/(B11+1)*B8)</f>
        <v/>
      </c>
      <c r="W12" s="72" t="str">
        <f>IF(OR(NOT(C8),(COLUMN()-3)-(B10+1)&lt;0,(B10+1+B11) - (COLUMN()-2) &lt;0),"",C8*(1-B9)/(B11+1)*B8)</f>
        <v/>
      </c>
      <c r="X12" s="72" t="str">
        <f>IF(OR(NOT(C8),(COLUMN()-3)-(B10+1)&lt;0,(B10+1+B11) - (COLUMN()-2) &lt;0),"",C8*(1-B9)/(B11+1)*B8)</f>
        <v/>
      </c>
      <c r="Y12" s="72" t="str">
        <f>IF(OR(NOT(C8),(COLUMN()-3)-(B10+1)&lt;0,(B10+1+B11) - (COLUMN()-2) &lt;0),"",C8*(1-B9)/(B11+1)*B8)</f>
        <v/>
      </c>
      <c r="Z12" s="72" t="str">
        <f>IF(OR(NOT(C8),(COLUMN()-3)-(B10+1)&lt;0,(B10+1+B11) - (COLUMN()-2) &lt;0),"",C8*(1-B9)/(B11+1)*B8)</f>
        <v/>
      </c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1"/>
      <c r="AV12" s="1">
        <f t="shared" ref="AV12:AV22" si="3">SUM(D12:AK12)</f>
        <v>0</v>
      </c>
    </row>
    <row r="13" spans="1:48" hidden="1">
      <c r="A13" s="90" t="s">
        <v>84</v>
      </c>
      <c r="B13" s="54">
        <f>B12-SUM(C8:N8)</f>
        <v>350</v>
      </c>
      <c r="C13" s="91"/>
      <c r="D13" s="91"/>
      <c r="E13" s="50" t="str">
        <f>IF(OR(NOT(D8),(COLUMN()-3)-(B10+2)&lt;0,(B10+2 +B11) - (COLUMN()-2) &lt;0),"",D8*(1-B9)/(B11+1)*B8)</f>
        <v/>
      </c>
      <c r="F13" s="50" t="str">
        <f>IF(OR(NOT(D8),(COLUMN()-3)-(B10+2)&lt;0,(B10+2 +B11) - (COLUMN()-2) &lt;0),"",D8*(1-B9)/(B11+1)*B8)</f>
        <v/>
      </c>
      <c r="G13" s="50" t="str">
        <f>IF(OR(NOT(D8),(COLUMN()-3)-(B10+2)&lt;0,(B10+2 +B11) - (COLUMN()-2) &lt;0),"",D8*(1-B9)/(B11+1)*B8)</f>
        <v/>
      </c>
      <c r="H13" s="50" t="str">
        <f>IF(OR(NOT(D8),(COLUMN()-3)-(B10+2)&lt;0,(B10+2 +B11) - (COLUMN()-2) &lt;0),"",D8*(1-B9)/(B11+1)*B8)</f>
        <v/>
      </c>
      <c r="I13" s="50" t="str">
        <f>IF(OR(NOT(D8),(COLUMN()-3)-(B10+2)&lt;0,(B10+2 +B11) - (COLUMN()-2) &lt;0),"",D8*(1-B9)/(B11+1)*B8)</f>
        <v/>
      </c>
      <c r="J13" s="50" t="str">
        <f>IF(OR(NOT(D8),(COLUMN()-3)-(B10+2)&lt;0,(B10+2 +B11) - (COLUMN()-2) &lt;0),"",D8*(1-B9)/(B11+1)*B8)</f>
        <v/>
      </c>
      <c r="K13" s="50" t="str">
        <f>IF(OR(NOT(D8),(COLUMN()-3)-(B10+2)&lt;0,(B10+2 +B11) - (COLUMN()-2) &lt;0),"",D8*(1-B9)/(B11+1)*B8)</f>
        <v/>
      </c>
      <c r="L13" s="50" t="str">
        <f>IF(OR(NOT(D8),(COLUMN()-3)-(B10+2)&lt;0,(B10+2 +B11) - (COLUMN()-2) &lt;0),"",D8*(1-B9)/(B11+1)*B8)</f>
        <v/>
      </c>
      <c r="M13" s="50" t="str">
        <f>IF(OR(NOT(D8),(COLUMN()-3)-(B10+2)&lt;0,(B10+2 +B11) - (COLUMN()-2) &lt;0),"",D8*(1-B9)/(B11+1)*B8)</f>
        <v/>
      </c>
      <c r="N13" s="50" t="str">
        <f>IF(OR(NOT(D8),(COLUMN()-3)-(B10+2)&lt;0,(B10+2 +B11) - (COLUMN()-2) &lt;0),"",D8*(1-B9)/(B11+1)*B8)</f>
        <v/>
      </c>
      <c r="O13" s="72" t="str">
        <f>IF(OR(NOT(D8),(COLUMN()-3)-(B10+2)&lt;0,(B10+2 +B11) - (COLUMN()-2) &lt;0),"",D8*(1-B9)/(B11+1)*B8)</f>
        <v/>
      </c>
      <c r="P13" s="72" t="str">
        <f>IF(OR(NOT(D8),(COLUMN()-3)-(B10+2)&lt;0,(B10+2 +B11) - (COLUMN()-2) &lt;0),"",D8*(1-B9)/(B11+1)*B8)</f>
        <v/>
      </c>
      <c r="Q13" s="72" t="str">
        <f>IF(OR(NOT(D8),(COLUMN()-3)-(B10+2)&lt;0,(B10+2 +B11) - (COLUMN()-2) &lt;0),"",D8*(1-B9)/(B11+1)*B8)</f>
        <v/>
      </c>
      <c r="R13" s="72" t="str">
        <f>IF(OR(NOT(D8),(COLUMN()-3)-(B10+2)&lt;0,(B10+2 +B11) - (COLUMN()-2) &lt;0),"",D8*(1-B9)/(B11+1)*B8)</f>
        <v/>
      </c>
      <c r="S13" s="72" t="str">
        <f>IF(OR(NOT(D8),(COLUMN()-3)-(B10+2)&lt;0,(B10+2 +B11) - (COLUMN()-2) &lt;0),"",D8*(1-B9)/(B11+1)*B8)</f>
        <v/>
      </c>
      <c r="T13" s="72" t="str">
        <f>IF(OR(NOT(D8),(COLUMN()-3)-(B10+2)&lt;0,(B10+2 +B11) - (COLUMN()-2) &lt;0),"",D8*(1-B9)/(B11+1)*B8)</f>
        <v/>
      </c>
      <c r="U13" s="72" t="str">
        <f>IF(OR(NOT(D8),(COLUMN()-3)-(B10+2)&lt;0,(B10+2 +B11) - (COLUMN()-2) &lt;0),"",D8*(1-B9)/(B11+1)*B8)</f>
        <v/>
      </c>
      <c r="V13" s="72" t="str">
        <f>IF(OR(NOT(D8),(COLUMN()-3)-(B10+2)&lt;0,(B10+2 +B11) - (COLUMN()-2) &lt;0),"",D8*(1-B9)/(B11+1)*B8)</f>
        <v/>
      </c>
      <c r="W13" s="72" t="str">
        <f>IF(OR(NOT(D8),(COLUMN()-3)-(B10+2)&lt;0,(B10+2 +B11) - (COLUMN()-2) &lt;0),"",D8*(1-B9)/(B11+1)*B8)</f>
        <v/>
      </c>
      <c r="X13" s="72" t="str">
        <f>IF(OR(NOT(D8),(COLUMN()-3)-(B10+2)&lt;0,(B10+2 +B11) - (COLUMN()-2) &lt;0),"",D8*(1-B9)/(B11+1)*B8)</f>
        <v/>
      </c>
      <c r="Y13" s="72" t="str">
        <f>IF(OR(NOT(D8),(COLUMN()-3)-(B10+2)&lt;0,(B10+2 +B11) - (COLUMN()-2) &lt;0),"",D8*(1-B9)/(B11+1)*B8)</f>
        <v/>
      </c>
      <c r="Z13" s="72" t="str">
        <f>IF(OR(NOT(D8),(COLUMN()-3)-(B10+2)&lt;0,(B10+2 +B11) - (COLUMN()-2) &lt;0),"",D8*(1-B9)/(B11+1)*B8)</f>
        <v/>
      </c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V13" s="1">
        <f t="shared" si="3"/>
        <v>0</v>
      </c>
    </row>
    <row r="14" spans="1:48" hidden="1">
      <c r="A14" s="91"/>
      <c r="B14" s="91"/>
      <c r="C14" s="91"/>
      <c r="D14" s="91"/>
      <c r="E14" s="91"/>
      <c r="F14" s="50" t="str">
        <f>IF(OR(NOT(E8),(COLUMN()-3)-(B10+3)&lt;0,(B10+3+B11) - (COLUMN()-2) &lt;0),"",E8*(1-B9)/(B11+1)*B8)</f>
        <v/>
      </c>
      <c r="G14" s="50" t="str">
        <f>IF(OR(NOT(E8),(COLUMN()-3)-(B10+3)&lt;0,(B10+3+B11) - (COLUMN()-2) &lt;0),"",E8*(1-B9)/(B11+1)*B8)</f>
        <v/>
      </c>
      <c r="H14" s="50" t="str">
        <f>IF(OR(NOT(E8),(COLUMN()-3)-(B10+3)&lt;0,(B10+3+B11) - (COLUMN()-2) &lt;0),"",E8*(1-B9)/(B11+1)*B8)</f>
        <v/>
      </c>
      <c r="I14" s="50" t="str">
        <f>IF(OR(NOT(E8),(COLUMN()-3)-(B10+3)&lt;0,(B10+3+B11) - (COLUMN()-2) &lt;0),"",E8*(1-B9)/(B11+1)*B8)</f>
        <v/>
      </c>
      <c r="J14" s="50" t="str">
        <f>IF(OR(NOT(E8),(COLUMN()-3)-(B10+3)&lt;0,(B10+3+B11) - (COLUMN()-2) &lt;0),"",E8*(1-B9)/(B11+1)*B8)</f>
        <v/>
      </c>
      <c r="K14" s="50" t="str">
        <f>IF(OR(NOT(E8),(COLUMN()-3)-(B10+3)&lt;0,(B10+3+B11) - (COLUMN()-2) &lt;0),"",E8*(1-B9)/(B11+1)*B8)</f>
        <v/>
      </c>
      <c r="L14" s="50" t="str">
        <f>IF(OR(NOT(E8),(COLUMN()-3)-(B10+3)&lt;0,(B10+3+B11) - (COLUMN()-2) &lt;0),"",E8*(1-B9)/(B11+1)*B8)</f>
        <v/>
      </c>
      <c r="M14" s="50" t="str">
        <f>IF(OR(NOT(E8),(COLUMN()-3)-(B10+3)&lt;0,(B10+3+B11) - (COLUMN()-2) &lt;0),"",E8*(1-B9)/(B11+1)*B8)</f>
        <v/>
      </c>
      <c r="N14" s="50" t="str">
        <f>IF(OR(NOT(E8),(COLUMN()-3)-(B10+3)&lt;0,(B10+3+B11) - (COLUMN()-2) &lt;0),"",E8*(1-B9)/(B11+1)*B8)</f>
        <v/>
      </c>
      <c r="O14" s="72" t="str">
        <f>IF(OR(NOT(E8),(COLUMN()-3)-(B10+3)&lt;0,(B10+3+B11) - (COLUMN()-2) &lt;0),"",E8*(1-B9)/(B11+1)*B8)</f>
        <v/>
      </c>
      <c r="P14" s="72" t="str">
        <f>IF(OR(NOT(E8),(COLUMN()-3)-(B10+3)&lt;0,(B10+3+B11) - (COLUMN()-2) &lt;0),"",E8*(1-B9)/(B11+1)*B8)</f>
        <v/>
      </c>
      <c r="Q14" s="72" t="str">
        <f>IF(OR(NOT(E8),(COLUMN()-3)-(B10+3)&lt;0,(B10+3+B11) - (COLUMN()-2) &lt;0),"",E8*(1-B9)/(B11+1)*B8)</f>
        <v/>
      </c>
      <c r="R14" s="72" t="str">
        <f>IF(OR(NOT(E8),(COLUMN()-3)-(B10+3)&lt;0,(B10+3+B11) - (COLUMN()-2) &lt;0),"",E8*(1-B9)/(B11+1)*B8)</f>
        <v/>
      </c>
      <c r="S14" s="72" t="str">
        <f>IF(OR(NOT(E8),(COLUMN()-3)-(B10+3)&lt;0,(B10+3+B11) - (COLUMN()-2) &lt;0),"",E8*(1-B9)/(B11+1)*B8)</f>
        <v/>
      </c>
      <c r="T14" s="72" t="str">
        <f>IF(OR(NOT(E8),(COLUMN()-3)-(B10+3)&lt;0,(B10+3+B11) - (COLUMN()-2) &lt;0),"",E8*(1-B9)/(B11+1)*B8)</f>
        <v/>
      </c>
      <c r="U14" s="72" t="str">
        <f>IF(OR(NOT(E8),(COLUMN()-3)-(B10+3)&lt;0,(B10+3+B11) - (COLUMN()-2) &lt;0),"",E8*(1-B9)/(B11+1)*B8)</f>
        <v/>
      </c>
      <c r="V14" s="72" t="str">
        <f>IF(OR(NOT(E8),(COLUMN()-3)-(B10+3)&lt;0,(B10+3+B11) - (COLUMN()-2) &lt;0),"",E8*(1-B9)/(B11+1)*B8)</f>
        <v/>
      </c>
      <c r="W14" s="72" t="str">
        <f>IF(OR(NOT(E8),(COLUMN()-3)-(B10+3)&lt;0,(B10+3+B11) - (COLUMN()-2) &lt;0),"",E8*(1-B9)/(B11+1)*B8)</f>
        <v/>
      </c>
      <c r="X14" s="72" t="str">
        <f>IF(OR(NOT(E8),(COLUMN()-3)-(B10+3)&lt;0,(B10+3+B11) - (COLUMN()-2) &lt;0),"",E8*(1-B9)/(B11+1)*B8)</f>
        <v/>
      </c>
      <c r="Y14" s="72" t="str">
        <f>IF(OR(NOT(E8),(COLUMN()-3)-(B10+3)&lt;0,(B10+3+B11) - (COLUMN()-2) &lt;0),"",E8*(1-B9)/(B11+1)*B8)</f>
        <v/>
      </c>
      <c r="Z14" s="72" t="str">
        <f>IF(OR(NOT(E8),(COLUMN()-3)-(B10+3)&lt;0,(B10+3+B11) - (COLUMN()-2) &lt;0),"",E8*(1-B9)/(B11+1)*B8)</f>
        <v/>
      </c>
      <c r="AA14" s="74" t="str">
        <f>IF(OR(NOT(E8),(COLUMN()-3)-(B10+3)&lt;0,(B10+3+B11) - (COLUMN()-2) &lt;0),"",E8*(1-B9)/(B11+1)*B8)</f>
        <v/>
      </c>
      <c r="AB14" s="91"/>
      <c r="AC14" s="91"/>
      <c r="AD14" s="91"/>
      <c r="AE14" s="91"/>
      <c r="AF14" s="91"/>
      <c r="AG14" s="91"/>
      <c r="AH14" s="91"/>
      <c r="AI14" s="91"/>
      <c r="AJ14" s="91"/>
      <c r="AV14" s="1">
        <f t="shared" si="3"/>
        <v>0</v>
      </c>
    </row>
    <row r="15" spans="1:48" hidden="1">
      <c r="A15" s="91"/>
      <c r="B15" s="91"/>
      <c r="C15" s="91"/>
      <c r="D15" s="91"/>
      <c r="E15" s="91"/>
      <c r="F15" s="91"/>
      <c r="G15" s="50" t="str">
        <f>IF(OR(NOT(F8),(COLUMN()-3)-(B10+4)&lt;0,(B10+4+B11) - (COLUMN()-2) &lt;0),"",F8*(1-B9)/(B11+1)*B8)</f>
        <v/>
      </c>
      <c r="H15" s="50" t="str">
        <f>IF(OR(NOT(F8),(COLUMN()-3)-(B10+4)&lt;0,(B10+4+B11) - (COLUMN()-2) &lt;0),"",F8*(1-B9)/(B11+1)*B8)</f>
        <v/>
      </c>
      <c r="I15" s="50" t="str">
        <f>IF(OR(NOT(F8),(COLUMN()-3)-(B10+4)&lt;0,(B10+4+B11) - (COLUMN()-2) &lt;0),"",F8*(1-B9)/(B11+1)*B8)</f>
        <v/>
      </c>
      <c r="J15" s="50" t="str">
        <f>IF(OR(NOT(F8),(COLUMN()-3)-(B10+4)&lt;0,(B10+4+B11) - (COLUMN()-2) &lt;0),"",F8*(1-B9)/(B11+1)*B8)</f>
        <v/>
      </c>
      <c r="K15" s="50" t="str">
        <f>IF(OR(NOT(F8),(COLUMN()-3)-(B10+4)&lt;0,(B10+4+B11) - (COLUMN()-2) &lt;0),"",F8*(1-B9)/(B11+1)*B8)</f>
        <v/>
      </c>
      <c r="L15" s="50" t="str">
        <f>IF(OR(NOT(F8),(COLUMN()-3)-(B10+4)&lt;0,(B10+4+B11) - (COLUMN()-2) &lt;0),"",F8*(1-B9)/(B11+1)*B8)</f>
        <v/>
      </c>
      <c r="M15" s="50" t="str">
        <f>IF(OR(NOT(F8),(COLUMN()-3)-(B10+4)&lt;0,(B10+4+B11) - (COLUMN()-2) &lt;0),"",F8*(1-B9)/(B11+1)*B8)</f>
        <v/>
      </c>
      <c r="N15" s="50" t="str">
        <f>IF(OR(NOT(F8),(COLUMN()-3)-(B10+4)&lt;0,(B10+4+B11) - (COLUMN()-2) &lt;0),"",F8*(1-B9)/(B11+1)*B8)</f>
        <v/>
      </c>
      <c r="O15" s="72" t="str">
        <f>IF(OR(NOT(F8),(COLUMN()-3)-(B10+4)&lt;0,(B10+4+B11) - (COLUMN()-2) &lt;0),"",F8*(1-B9)/(B11+1)*B8)</f>
        <v/>
      </c>
      <c r="P15" s="72" t="str">
        <f>IF(OR(NOT(F8),(COLUMN()-3)-(B10+4)&lt;0,(B10+4+B11) - (COLUMN()-2) &lt;0),"",F8*(1-B9)/(B11+1)*B8)</f>
        <v/>
      </c>
      <c r="Q15" s="72" t="str">
        <f>IF(OR(NOT(F8),(COLUMN()-3)-(B10+4)&lt;0,(B10+4+B11) - (COLUMN()-2) &lt;0),"",F8*(1-B9)/(B11+1)*B8)</f>
        <v/>
      </c>
      <c r="R15" s="72" t="str">
        <f>IF(OR(NOT(F8),(COLUMN()-3)-(B10+4)&lt;0,(B10+4+B11) - (COLUMN()-2) &lt;0),"",F8*(1-B9)/(B11+1)*B8)</f>
        <v/>
      </c>
      <c r="S15" s="72" t="str">
        <f>IF(OR(NOT(F8),(COLUMN()-3)-(B10+4)&lt;0,(B10+4+B11) - (COLUMN()-2) &lt;0),"",F8*(1-B9)/(B11+1)*B8)</f>
        <v/>
      </c>
      <c r="T15" s="72" t="str">
        <f>IF(OR(NOT(F8),(COLUMN()-3)-(B10+4)&lt;0,(B10+4+B11) - (COLUMN()-2) &lt;0),"",F8*(1-B9)/(B11+1)*B8)</f>
        <v/>
      </c>
      <c r="U15" s="72" t="str">
        <f>IF(OR(NOT(F8),(COLUMN()-3)-(B10+4)&lt;0,(B10+4+B11) - (COLUMN()-2) &lt;0),"",F8*(1-B9)/(B11+1)*B8)</f>
        <v/>
      </c>
      <c r="V15" s="72" t="str">
        <f>IF(OR(NOT(F8),(COLUMN()-3)-(B10+4)&lt;0,(B10+4+B11) - (COLUMN()-2) &lt;0),"",F8*(1-B9)/(B11+1)*B8)</f>
        <v/>
      </c>
      <c r="W15" s="72" t="str">
        <f>IF(OR(NOT(F8),(COLUMN()-3)-(B10+4)&lt;0,(B10+4+B11) - (COLUMN()-2) &lt;0),"",F8*(1-B9)/(B11+1)*B8)</f>
        <v/>
      </c>
      <c r="X15" s="72" t="str">
        <f>IF(OR(NOT(F8),(COLUMN()-3)-(B10+4)&lt;0,(B10+4+B11) - (COLUMN()-2) &lt;0),"",F8*(1-B9)/(B11+1)*B8)</f>
        <v/>
      </c>
      <c r="Y15" s="72" t="str">
        <f>IF(OR(NOT(F8),(COLUMN()-3)-(B10+4)&lt;0,(B10+4+B11) - (COLUMN()-2) &lt;0),"",F8*(1-B9)/(B11+1)*B8)</f>
        <v/>
      </c>
      <c r="Z15" s="72" t="str">
        <f>IF(OR(NOT(F8),(COLUMN()-3)-(B10+4)&lt;0,(B10+4+B11) - (COLUMN()-2) &lt;0),"",F8*(1-B9)/(B11+1)*B8)</f>
        <v/>
      </c>
      <c r="AA15" s="74" t="str">
        <f>IF(OR(NOT(F8),(COLUMN()-3)-(B10+4)&lt;0,(B10+4+B11) - (COLUMN()-2) &lt;0),"",F8*(1-B9)/(B11+1)*B8)</f>
        <v/>
      </c>
      <c r="AB15" s="74" t="str">
        <f>IF(OR(NOT(F8),(COLUMN()-3)-(B10+4)&lt;0,(B10+4+B11) - (COLUMN()-2) &lt;0),"",F8*(1-B9)/(B11+1)*B8)</f>
        <v/>
      </c>
      <c r="AC15" s="91"/>
      <c r="AD15" s="91"/>
      <c r="AE15" s="91"/>
      <c r="AF15" s="91"/>
      <c r="AG15" s="91"/>
      <c r="AH15" s="91"/>
      <c r="AI15" s="91"/>
      <c r="AJ15" s="91"/>
      <c r="AV15" s="1">
        <f t="shared" si="3"/>
        <v>0</v>
      </c>
    </row>
    <row r="16" spans="1:48" hidden="1">
      <c r="A16" s="91"/>
      <c r="B16" s="91"/>
      <c r="C16" s="91"/>
      <c r="D16" s="91"/>
      <c r="E16" s="91"/>
      <c r="F16" s="91"/>
      <c r="G16" s="91"/>
      <c r="H16" s="50" t="str">
        <f>IF(OR(NOT(G8),(COLUMN()-3)-(B10+5)&lt;0,(B10+5+B11) - (COLUMN()-2) &lt;0),"",G8*(1-B9)/(B11+1)*B8)</f>
        <v/>
      </c>
      <c r="I16" s="50" t="str">
        <f>IF(OR(NOT(G8),(COLUMN()-3)-(B10+5)&lt;0,(B10+5+B11) - (COLUMN()-2) &lt;0),"",G8*(1-B9)/(B11+1)*B8)</f>
        <v/>
      </c>
      <c r="J16" s="50" t="str">
        <f>IF(OR(NOT(G8),(COLUMN()-3)-(B10+5)&lt;0,(B10+5+B11) - (COLUMN()-2) &lt;0),"",G8*(1-B9)/(B11+1)*B8)</f>
        <v/>
      </c>
      <c r="K16" s="50" t="str">
        <f>IF(OR(NOT(G8),(COLUMN()-3)-(B10+5)&lt;0,(B10+5+B11) - (COLUMN()-2) &lt;0),"",G8*(1-B9)/(B11+1)*B8)</f>
        <v/>
      </c>
      <c r="L16" s="50" t="str">
        <f>IF(OR(NOT(G8),(COLUMN()-3)-(B10+5)&lt;0,(B10+5+B11) - (COLUMN()-2) &lt;0),"",G8*(1-B9)/(B11+1)*B8)</f>
        <v/>
      </c>
      <c r="M16" s="50" t="str">
        <f>IF(OR(NOT(G8),(COLUMN()-3)-(B10+5)&lt;0,(B10+5+B11) - (COLUMN()-2) &lt;0),"",G8*(1-B9)/(B11+1)*B8)</f>
        <v/>
      </c>
      <c r="N16" s="50" t="str">
        <f>IF(OR(NOT(G8),(COLUMN()-3)-(B10+5)&lt;0,(B10+5+B11) - (COLUMN()-2) &lt;0),"",G8*(1-B9)/(B11+1)*B8)</f>
        <v/>
      </c>
      <c r="O16" s="72" t="str">
        <f>IF(OR(NOT(G8),(COLUMN()-3)-(B10+5)&lt;0,(B10+5+B11) - (COLUMN()-2) &lt;0),"",G8*(1-B9)/(B11+1)*B8)</f>
        <v/>
      </c>
      <c r="P16" s="72" t="str">
        <f>IF(OR(NOT(G8),(COLUMN()-3)-(B10+5)&lt;0,(B10+5+B11) - (COLUMN()-2) &lt;0),"",G8*(1-B9)/(B11+1)*B8)</f>
        <v/>
      </c>
      <c r="Q16" s="72" t="str">
        <f>IF(OR(NOT(G8),(COLUMN()-3)-(B10+5)&lt;0,(B10+5+B11) - (COLUMN()-2) &lt;0),"",G8*(1-B9)/(B11+1)*B8)</f>
        <v/>
      </c>
      <c r="R16" s="72" t="str">
        <f>IF(OR(NOT(G8),(COLUMN()-3)-(B10+5)&lt;0,(B10+5+B11) - (COLUMN()-2) &lt;0),"",G8*(1-B9)/(B11+1)*B8)</f>
        <v/>
      </c>
      <c r="S16" s="72" t="str">
        <f>IF(OR(NOT(G8),(COLUMN()-3)-(B10+5)&lt;0,(B10+5+B11) - (COLUMN()-2) &lt;0),"",G8*(1-B9)/(B11+1)*B8)</f>
        <v/>
      </c>
      <c r="T16" s="72" t="str">
        <f>IF(OR(NOT(G8),(COLUMN()-3)-(B10+5)&lt;0,(B10+5+B11) - (COLUMN()-2) &lt;0),"",G8*(1-B9)/(B11+1)*B8)</f>
        <v/>
      </c>
      <c r="U16" s="72" t="str">
        <f>IF(OR(NOT(G8),(COLUMN()-3)-(B10+5)&lt;0,(B10+5+B11) - (COLUMN()-2) &lt;0),"",G8*(1-B9)/(B11+1)*B8)</f>
        <v/>
      </c>
      <c r="V16" s="72" t="str">
        <f>IF(OR(NOT(G8),(COLUMN()-3)-(B10+5)&lt;0,(B10+5+B11) - (COLUMN()-2) &lt;0),"",G8*(1-B9)/(B11+1)*B8)</f>
        <v/>
      </c>
      <c r="W16" s="72" t="str">
        <f>IF(OR(NOT(G8),(COLUMN()-3)-(B10+5)&lt;0,(B10+5+B11) - (COLUMN()-2) &lt;0),"",G8*(1-B9)/(B11+1)*B8)</f>
        <v/>
      </c>
      <c r="X16" s="72" t="str">
        <f>IF(OR(NOT(G8),(COLUMN()-3)-(B10+5)&lt;0,(B10+5+B11) - (COLUMN()-2) &lt;0),"",G8*(1-B9)/(B11+1)*B8)</f>
        <v/>
      </c>
      <c r="Y16" s="72" t="str">
        <f>IF(OR(NOT(G8),(COLUMN()-3)-(B10+5)&lt;0,(B10+5+B11) - (COLUMN()-2) &lt;0),"",G8*(1-B9)/(B11+1)*B8)</f>
        <v/>
      </c>
      <c r="Z16" s="72" t="str">
        <f>IF(OR(NOT(G8),(COLUMN()-3)-(B10+5)&lt;0,(B10+5+B11) - (COLUMN()-2) &lt;0),"",G8*(1-B9)/(B11+1)*B8)</f>
        <v/>
      </c>
      <c r="AA16" s="74" t="str">
        <f>IF(OR(NOT(G8),(COLUMN()-3)-(B10+5)&lt;0,(B10+5+B11) - (COLUMN()-2) &lt;0),"",G8*(1-B9)/(B11+1)*B8)</f>
        <v/>
      </c>
      <c r="AB16" s="74" t="str">
        <f>IF(OR(NOT(G8),(COLUMN()-3)-(B10+5)&lt;0,(B10+5+B11) - (COLUMN()-2) &lt;0),"",G8*(1-B9)/(B11+1)*B8)</f>
        <v/>
      </c>
      <c r="AC16" s="74" t="str">
        <f>IF(OR(NOT(G8),(COLUMN()-3)-(B10+5)&lt;0,(B10+5+B11) - (COLUMN()-2) &lt;0),"",G8*(1-B9)/(B11+1)*B8)</f>
        <v/>
      </c>
      <c r="AD16" s="91"/>
      <c r="AE16" s="91"/>
      <c r="AF16" s="91"/>
      <c r="AG16" s="91"/>
      <c r="AH16" s="91"/>
      <c r="AI16" s="91"/>
      <c r="AJ16" s="91"/>
      <c r="AV16" s="1">
        <f t="shared" si="3"/>
        <v>0</v>
      </c>
    </row>
    <row r="17" spans="1:48" hidden="1">
      <c r="A17" s="91"/>
      <c r="B17" s="91"/>
      <c r="C17" s="91"/>
      <c r="D17" s="91"/>
      <c r="E17" s="91"/>
      <c r="F17" s="91"/>
      <c r="G17" s="91"/>
      <c r="H17" s="91"/>
      <c r="I17" s="50" t="str">
        <f>IF(OR(NOT(H8),(COLUMN()-3)-(B10+6)&lt;0,(B10+6+B11) - (COLUMN()-2) &lt;0),"",H8*(1-B9)/(B11+1)*B8)</f>
        <v/>
      </c>
      <c r="J17" s="50" t="str">
        <f>IF(OR(NOT(H8),(COLUMN()-3)-(B10+6)&lt;0,(B10+6+B11) - (COLUMN()-2) &lt;0),"",H8*(1-B9)/(B11+1)*B8)</f>
        <v/>
      </c>
      <c r="K17" s="50" t="str">
        <f>IF(OR(NOT(H8),(COLUMN()-3)-(B10+6)&lt;0,(B10+6+B11) - (COLUMN()-2) &lt;0),"",H8*(1-B9)/(B11+1)*B8)</f>
        <v/>
      </c>
      <c r="L17" s="50" t="str">
        <f>IF(OR(NOT(H8),(COLUMN()-3)-(B10+6)&lt;0,(B10+6+B11) - (COLUMN()-2) &lt;0),"",H8*(1-B9)/(B11+1)*B8)</f>
        <v/>
      </c>
      <c r="M17" s="50" t="str">
        <f>IF(OR(NOT(H8),(COLUMN()-3)-(B10+6)&lt;0,(B10+6+B11) - (COLUMN()-2) &lt;0),"",H8*(1-B9)/(B11+1)*B8)</f>
        <v/>
      </c>
      <c r="N17" s="50" t="str">
        <f>IF(OR(NOT(H8),(COLUMN()-3)-(B10+6)&lt;0,(B10+6+B11) - (COLUMN()-2) &lt;0),"",H8*(1-B9)/(B11+1)*B8)</f>
        <v/>
      </c>
      <c r="O17" s="72" t="str">
        <f>IF(OR(NOT(H8),(COLUMN()-3)-(B10+6)&lt;0,(B10+6+B11) - (COLUMN()-2) &lt;0),"",H8*(1-B9)/(B11+1)*B8)</f>
        <v/>
      </c>
      <c r="P17" s="72" t="str">
        <f>IF(OR(NOT(H8),(COLUMN()-3)-(B10+6)&lt;0,(B10+6+B11) - (COLUMN()-2) &lt;0),"",H8*(1-B9)/(B11+1)*B8)</f>
        <v/>
      </c>
      <c r="Q17" s="72" t="str">
        <f>IF(OR(NOT(H8),(COLUMN()-3)-(B10+6)&lt;0,(B10+6+B11) - (COLUMN()-2) &lt;0),"",H8*(1-B9)/(B11+1)*B8)</f>
        <v/>
      </c>
      <c r="R17" s="72" t="str">
        <f>IF(OR(NOT(H8),(COLUMN()-3)-(B10+6)&lt;0,(B10+6+B11) - (COLUMN()-2) &lt;0),"",H8*(1-B9)/(B11+1)*B8)</f>
        <v/>
      </c>
      <c r="S17" s="72" t="str">
        <f>IF(OR(NOT(H8),(COLUMN()-3)-(B10+6)&lt;0,(B10+6+B11) - (COLUMN()-2) &lt;0),"",H8*(1-B9)/(B11+1)*B8)</f>
        <v/>
      </c>
      <c r="T17" s="72" t="str">
        <f>IF(OR(NOT(H8),(COLUMN()-3)-(B10+6)&lt;0,(B10+6+B11) - (COLUMN()-2) &lt;0),"",H8*(1-B9)/(B11+1)*B8)</f>
        <v/>
      </c>
      <c r="U17" s="72" t="str">
        <f>IF(OR(NOT(H8),(COLUMN()-3)-(B10+6)&lt;0,(B10+6+B11) - (COLUMN()-2) &lt;0),"",H8*(1-B9)/(B11+1)*B8)</f>
        <v/>
      </c>
      <c r="V17" s="72" t="str">
        <f>IF(OR(NOT(H8),(COLUMN()-3)-(B10+6)&lt;0,(B10+6+B11) - (COLUMN()-2) &lt;0),"",H8*(1-B9)/(B11+1)*B8)</f>
        <v/>
      </c>
      <c r="W17" s="72" t="str">
        <f>IF(OR(NOT(H8),(COLUMN()-3)-(B10+6)&lt;0,(B10+6+B11) - (COLUMN()-2) &lt;0),"",H8*(1-B9)/(B11+1)*B8)</f>
        <v/>
      </c>
      <c r="X17" s="72" t="str">
        <f>IF(OR(NOT(H8),(COLUMN()-3)-(B10+6)&lt;0,(B10+6+B11) - (COLUMN()-2) &lt;0),"",H8*(1-B9)/(B11+1)*B8)</f>
        <v/>
      </c>
      <c r="Y17" s="72" t="str">
        <f>IF(OR(NOT(H8),(COLUMN()-3)-(B10+6)&lt;0,(B10+6+B11) - (COLUMN()-2) &lt;0),"",H8*(1-B9)/(B11+1)*B8)</f>
        <v/>
      </c>
      <c r="Z17" s="72" t="str">
        <f>IF(OR(NOT(H8),(COLUMN()-3)-(B10+6)&lt;0,(B10+6+B11) - (COLUMN()-2) &lt;0),"",H8*(1-B9)/(B11+1)*B8)</f>
        <v/>
      </c>
      <c r="AA17" s="74" t="str">
        <f>IF(OR(NOT(H8),(COLUMN()-3)-(B10+6)&lt;0,(B10+6+B11) - (COLUMN()-2) &lt;0),"",H8*(1-B9)/(B11+1)*B8)</f>
        <v/>
      </c>
      <c r="AB17" s="74" t="str">
        <f>IF(OR(NOT(H8),(COLUMN()-3)-(B10+6)&lt;0,(B10+6+B11) - (COLUMN()-2) &lt;0),"",H8*(1-B9)/(B11+1)*B8)</f>
        <v/>
      </c>
      <c r="AC17" s="74" t="str">
        <f>IF(OR(NOT(H8),(COLUMN()-3)-(B10+6)&lt;0,(B10+6+B11) - (COLUMN()-2) &lt;0),"",H8*(1-B9)/(B11+1)*B8)</f>
        <v/>
      </c>
      <c r="AD17" s="74" t="str">
        <f>IF(OR(NOT(H8),(COLUMN()-3)-(B10+6)&lt;0,(B10+6+B11) - (COLUMN()-2) &lt;0),"",H8*(1-B9)/(B11+1)*B8)</f>
        <v/>
      </c>
      <c r="AE17" s="91"/>
      <c r="AF17" s="91"/>
      <c r="AG17" s="91"/>
      <c r="AH17" s="91"/>
      <c r="AI17" s="91"/>
      <c r="AJ17" s="91"/>
      <c r="AV17" s="1">
        <f t="shared" si="3"/>
        <v>0</v>
      </c>
    </row>
    <row r="18" spans="1:48" hidden="1">
      <c r="A18" s="91"/>
      <c r="B18" s="91"/>
      <c r="C18" s="91"/>
      <c r="D18" s="91"/>
      <c r="E18" s="91"/>
      <c r="F18" s="91"/>
      <c r="G18" s="91"/>
      <c r="H18" s="91"/>
      <c r="I18" s="91"/>
      <c r="J18" s="50" t="str">
        <f>IF(OR(NOT(I8),(COLUMN()-3)-(B10+7)&lt;0,(B10+7+B11) - (COLUMN()-2) &lt;0),"",I8*(1-B9)/(B11+1)*B8)</f>
        <v/>
      </c>
      <c r="K18" s="50" t="str">
        <f>IF(OR(NOT(I8),(COLUMN()-3)-(B10+7)&lt;0,(B10+7+B11) - (COLUMN()-2) &lt;0),"",I8*(1-B9)/(B11+1)*B8)</f>
        <v/>
      </c>
      <c r="L18" s="50" t="str">
        <f>IF(OR(NOT(I8),(COLUMN()-3)-(B10+7)&lt;0,(B10+7+B11) - (COLUMN()-2) &lt;0),"",I8*(1-B9)/(B11+1)*B8)</f>
        <v/>
      </c>
      <c r="M18" s="50" t="str">
        <f>IF(OR(NOT(I8),(COLUMN()-3)-(B10+7)&lt;0,(B10+7+B11) - (COLUMN()-2) &lt;0),"",I8*(1-B9)/(B11+1)*B8)</f>
        <v/>
      </c>
      <c r="N18" s="50" t="str">
        <f>IF(OR(NOT(I8),(COLUMN()-3)-(B10+7)&lt;0,(B10+7+B11) - (COLUMN()-2) &lt;0),"",I8*(1-B9)/(B11+1)*B8)</f>
        <v/>
      </c>
      <c r="O18" s="72" t="str">
        <f>IF(OR(NOT(I8),(COLUMN()-3)-(B10+7)&lt;0,(B10+7+B11) - (COLUMN()-2) &lt;0),"",I8*(1-B9)/(B11+1)*B8)</f>
        <v/>
      </c>
      <c r="P18" s="72" t="str">
        <f>IF(OR(NOT(I8),(COLUMN()-3)-(B10+7)&lt;0,(B10+7+B11) - (COLUMN()-2) &lt;0),"",I8*(1-B9)/(B11+1)*B8)</f>
        <v/>
      </c>
      <c r="Q18" s="72" t="str">
        <f>IF(OR(NOT(I8),(COLUMN()-3)-(B10+7)&lt;0,(B10+7+B11) - (COLUMN()-2) &lt;0),"",I8*(1-B9)/(B11+1)*B8)</f>
        <v/>
      </c>
      <c r="R18" s="72" t="str">
        <f>IF(OR(NOT(I8),(COLUMN()-3)-(B10+7)&lt;0,(B10+7+B11) - (COLUMN()-2) &lt;0),"",I8*(1-B9)/(B11+1)*B8)</f>
        <v/>
      </c>
      <c r="S18" s="72" t="str">
        <f>IF(OR(NOT(I8),(COLUMN()-3)-(B10+7)&lt;0,(B10+7+B11) - (COLUMN()-2) &lt;0),"",I8*(1-B9)/(B11+1)*B8)</f>
        <v/>
      </c>
      <c r="T18" s="72" t="str">
        <f>IF(OR(NOT(I8),(COLUMN()-3)-(B10+7)&lt;0,(B10+7+B11) - (COLUMN()-2) &lt;0),"",I8*(1-B9)/(B11+1)*B8)</f>
        <v/>
      </c>
      <c r="U18" s="72" t="str">
        <f>IF(OR(NOT(I8),(COLUMN()-3)-(B10+7)&lt;0,(B10+7+B11) - (COLUMN()-2) &lt;0),"",I8*(1-B9)/(B11+1)*B8)</f>
        <v/>
      </c>
      <c r="V18" s="72" t="str">
        <f>IF(OR(NOT(I8),(COLUMN()-3)-(B10+7)&lt;0,(B10+7+B11) - (COLUMN()-2) &lt;0),"",I8*(1-B9)/(B11+1)*B8)</f>
        <v/>
      </c>
      <c r="W18" s="72" t="str">
        <f>IF(OR(NOT(I8),(COLUMN()-3)-(B10+7)&lt;0,(B10+7+B11) - (COLUMN()-2) &lt;0),"",I8*(1-B9)/(B11+1)*B8)</f>
        <v/>
      </c>
      <c r="X18" s="72" t="str">
        <f>IF(OR(NOT(I8),(COLUMN()-3)-(B10+7)&lt;0,(B10+7+B11) - (COLUMN()-2) &lt;0),"",I8*(1-B9)/(B11+1)*B8)</f>
        <v/>
      </c>
      <c r="Y18" s="72" t="str">
        <f>IF(OR(NOT(I8),(COLUMN()-3)-(B10+7)&lt;0,(B10+7+B11) - (COLUMN()-2) &lt;0),"",I8*(1-B9)/(B11+1)*B8)</f>
        <v/>
      </c>
      <c r="Z18" s="72" t="str">
        <f>IF(OR(NOT(I8),(COLUMN()-3)-(B10+7)&lt;0,(B10+7+B11) - (COLUMN()-2) &lt;0),"",I8*(1-B9)/(B11+1)*B8)</f>
        <v/>
      </c>
      <c r="AA18" s="74" t="str">
        <f>IF(OR(NOT(I8),(COLUMN()-3)-(B10+7)&lt;0,(B10+7+B11) - (COLUMN()-2) &lt;0),"",I8*(1-B9)/(B11+1)*B8)</f>
        <v/>
      </c>
      <c r="AB18" s="74" t="str">
        <f>IF(OR(NOT(I8),(COLUMN()-3)-(B10+7)&lt;0,(B10+7+B11) - (COLUMN()-2) &lt;0),"",I8*(1-B9)/(B11+1)*B8)</f>
        <v/>
      </c>
      <c r="AC18" s="74" t="str">
        <f>IF(OR(NOT(I8),(COLUMN()-3)-(B10+7)&lt;0,(B10+7+B11) - (COLUMN()-2) &lt;0),"",I8*(1-B9)/(B11+1)*B8)</f>
        <v/>
      </c>
      <c r="AD18" s="74" t="str">
        <f>IF(OR(NOT(I8),(COLUMN()-3)-(B10+7)&lt;0,(B10+7+B11) - (COLUMN()-2) &lt;0),"",I8*(1-B9)/(B11+1)*B8)</f>
        <v/>
      </c>
      <c r="AE18" s="74" t="str">
        <f>IF(OR(NOT(I8),(COLUMN()-3)-(B10+7)&lt;0,(B10+7+B11) - (COLUMN()-2) &lt;0),"",I8*(1-B9)/(B11+1)*B8)</f>
        <v/>
      </c>
      <c r="AF18" s="91"/>
      <c r="AG18" s="91"/>
      <c r="AH18" s="91"/>
      <c r="AI18" s="91"/>
      <c r="AJ18" s="91"/>
      <c r="AV18" s="1">
        <f t="shared" si="3"/>
        <v>0</v>
      </c>
    </row>
    <row r="19" spans="1:48" hidden="1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50" t="str">
        <f>IF(OR(NOT(J8),(COLUMN()-3)-(B10+8)&lt;0,(B10+8+B11) - (COLUMN()-2) &lt;0),"",J8*(1-B9)/(B11+1)*B8)</f>
        <v/>
      </c>
      <c r="L19" s="50" t="str">
        <f>IF(OR(NOT(J8),(COLUMN()-3)-(B10+8)&lt;0,(B10+8+B11) - (COLUMN()-2) &lt;0),"",J8*(1-B9)/(B11+1)*B8)</f>
        <v/>
      </c>
      <c r="M19" s="50" t="str">
        <f>IF(OR(NOT(J8),(COLUMN()-3)-(B10+8)&lt;0,(B10+8+B11) - (COLUMN()-2) &lt;0),"",J8*(1-B9)/(B11+1)*B8)</f>
        <v/>
      </c>
      <c r="N19" s="50" t="str">
        <f>IF(OR(NOT(J8),(COLUMN()-3)-(B10+8)&lt;0,(B10+8+B11) - (COLUMN()-2) &lt;0),"",J8*(1-B9)/(B11+1)*B8)</f>
        <v/>
      </c>
      <c r="O19" s="72" t="str">
        <f>IF(OR(NOT(J8),(COLUMN()-3)-(B10+8)&lt;0,(B10+8+B11) - (COLUMN()-2) &lt;0),"",J8*(1-B9)/(B11+1)*B8)</f>
        <v/>
      </c>
      <c r="P19" s="72" t="str">
        <f>IF(OR(NOT(J8),(COLUMN()-3)-(B10+8)&lt;0,(B10+8+B11) - (COLUMN()-2) &lt;0),"",J8*(1-B9)/(B11+1)*B8)</f>
        <v/>
      </c>
      <c r="Q19" s="72" t="str">
        <f>IF(OR(NOT(J8),(COLUMN()-3)-(B10+8)&lt;0,(B10+8+B11) - (COLUMN()-2) &lt;0),"",J8*(1-B9)/(B11+1)*B8)</f>
        <v/>
      </c>
      <c r="R19" s="72" t="str">
        <f>IF(OR(NOT(J8),(COLUMN()-3)-(B10+8)&lt;0,(B10+8+B11) - (COLUMN()-2) &lt;0),"",J8*(1-B9)/(B11+1)*B8)</f>
        <v/>
      </c>
      <c r="S19" s="72" t="str">
        <f>IF(OR(NOT(J8),(COLUMN()-3)-(B10+8)&lt;0,(B10+8+B11) - (COLUMN()-2) &lt;0),"",J8*(1-B9)/(B11+1)*B8)</f>
        <v/>
      </c>
      <c r="T19" s="72" t="str">
        <f>IF(OR(NOT(J8),(COLUMN()-3)-(B10+8)&lt;0,(B10+8+B11) - (COLUMN()-2) &lt;0),"",J8*(1-B9)/(B11+1)*B8)</f>
        <v/>
      </c>
      <c r="U19" s="72" t="str">
        <f>IF(OR(NOT(J8),(COLUMN()-3)-(B10+8)&lt;0,(B10+8+B11) - (COLUMN()-2) &lt;0),"",J8*(1-B9)/(B11+1)*B8)</f>
        <v/>
      </c>
      <c r="V19" s="72" t="str">
        <f>IF(OR(NOT(J8),(COLUMN()-3)-(B10+8)&lt;0,(B10+8+B11) - (COLUMN()-2) &lt;0),"",J8*(1-B9)/(B11+1)*B8)</f>
        <v/>
      </c>
      <c r="W19" s="72" t="str">
        <f>IF(OR(NOT(J8),(COLUMN()-3)-(B10+8)&lt;0,(B10+8+B11) - (COLUMN()-2) &lt;0),"",J8*(1-B9)/(B11+1)*B8)</f>
        <v/>
      </c>
      <c r="X19" s="72" t="str">
        <f>IF(OR(NOT(J8),(COLUMN()-3)-(B10+8)&lt;0,(B10+8+B11) - (COLUMN()-2) &lt;0),"",J8*(1-B9)/(B11+1)*B8)</f>
        <v/>
      </c>
      <c r="Y19" s="72" t="str">
        <f>IF(OR(NOT(J8),(COLUMN()-3)-(B10+8)&lt;0,(B10+8+B11) - (COLUMN()-2) &lt;0),"",J8*(1-B9)/(B11+1)*B8)</f>
        <v/>
      </c>
      <c r="Z19" s="72" t="str">
        <f>IF(OR(NOT(J8),(COLUMN()-3)-(B10+8)&lt;0,(B10+8+B11) - (COLUMN()-2) &lt;0),"",J8*(1-B9)/(B11+1)*B8)</f>
        <v/>
      </c>
      <c r="AA19" s="74" t="str">
        <f>IF(OR(NOT(J8),(COLUMN()-3)-(B10+8)&lt;0,(B10+8+B11) - (COLUMN()-2) &lt;0),"",J8*(1-B9)/(B11+1)*B8)</f>
        <v/>
      </c>
      <c r="AB19" s="74" t="str">
        <f>IF(OR(NOT(J8),(COLUMN()-3)-(B10+8)&lt;0,(B10+8+B11) - (COLUMN()-2) &lt;0),"",J8*(1-B9)/(B11+1)*B8)</f>
        <v/>
      </c>
      <c r="AC19" s="74" t="str">
        <f>IF(OR(NOT(J8),(COLUMN()-3)-(B10+8)&lt;0,(B10+8+B11) - (COLUMN()-2) &lt;0),"",J8*(1-B9)/(B11+1)*B8)</f>
        <v/>
      </c>
      <c r="AD19" s="74" t="str">
        <f>IF(OR(NOT(J8),(COLUMN()-3)-(B10+8)&lt;0,(B10+8+B11) - (COLUMN()-2) &lt;0),"",J8*(1-B9)/(B11+1)*B8)</f>
        <v/>
      </c>
      <c r="AE19" s="74" t="str">
        <f>IF(OR(NOT(J8),(COLUMN()-3)-(B10+8)&lt;0,(B10+8+B11) - (COLUMN()-2) &lt;0),"",J8*(1-B9)/(B11+1)*B8)</f>
        <v/>
      </c>
      <c r="AF19" s="74" t="str">
        <f>IF(OR(NOT(J8),(COLUMN()-3)-(B10+8)&lt;0,(B10+8+B11) - (COLUMN()-2) &lt;0),"",J8*(1-B9)/(B11+1)*B8)</f>
        <v/>
      </c>
      <c r="AG19" s="91"/>
      <c r="AH19" s="91"/>
      <c r="AI19" s="91"/>
      <c r="AJ19" s="91"/>
      <c r="AV19" s="1">
        <f t="shared" si="3"/>
        <v>0</v>
      </c>
    </row>
    <row r="20" spans="1:48" hidden="1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50" t="str">
        <f>IF(OR(NOT(K8),(COLUMN()-3)-(B10+9)&lt;0,(B10+9+B11) - (COLUMN()-2) &lt;0),"",K8*(1-B9)/(B11+1)*B8)</f>
        <v/>
      </c>
      <c r="M20" s="50" t="str">
        <f>IF(OR(NOT(K8),(COLUMN()-3)-(B10+9)&lt;0,(B10+9+B11) - (COLUMN()-2) &lt;0),"",K8*(1-B9)/(B11+1)*B8)</f>
        <v/>
      </c>
      <c r="N20" s="50" t="str">
        <f>IF(OR(NOT(K8),(COLUMN()-3)-(B10+9)&lt;0,(B10+9+B11) - (COLUMN()-2) &lt;0),"",K8*(1-B9)/(B11+1)*B8)</f>
        <v/>
      </c>
      <c r="O20" s="72" t="str">
        <f>IF(OR(NOT(K8),(COLUMN()-3)-(B10+9)&lt;0,(B10+9+B11) - (COLUMN()-2) &lt;0),"",K8*(1-B9)/(B11+1)*B8)</f>
        <v/>
      </c>
      <c r="P20" s="72" t="str">
        <f>IF(OR(NOT(K8),(COLUMN()-3)-(B10+9)&lt;0,(B10+9+B11) - (COLUMN()-2) &lt;0),"",K8*(1-B9)/(B11+1)*B8)</f>
        <v/>
      </c>
      <c r="Q20" s="72" t="str">
        <f>IF(OR(NOT(K8),(COLUMN()-3)-(B10+9)&lt;0,(B10+9+B11) - (COLUMN()-2) &lt;0),"",K8*(1-B9)/(B11+1)*B8)</f>
        <v/>
      </c>
      <c r="R20" s="72" t="str">
        <f>IF(OR(NOT(K8),(COLUMN()-3)-(B10+9)&lt;0,(B10+9+B11) - (COLUMN()-2) &lt;0),"",K8*(1-B9)/(B11+1)*B8)</f>
        <v/>
      </c>
      <c r="S20" s="72" t="str">
        <f>IF(OR(NOT(K8),(COLUMN()-3)-(B10+9)&lt;0,(B10+9+B11) - (COLUMN()-2) &lt;0),"",K8*(1-B9)/(B11+1)*B8)</f>
        <v/>
      </c>
      <c r="T20" s="72" t="str">
        <f>IF(OR(NOT(K8),(COLUMN()-3)-(B10+9)&lt;0,(B10+9+B11) - (COLUMN()-2) &lt;0),"",K8*(1-B9)/(B11+1)*B8)</f>
        <v/>
      </c>
      <c r="U20" s="72" t="str">
        <f>IF(OR(NOT(K8),(COLUMN()-3)-(B10+9)&lt;0,(B10+9+B11) - (COLUMN()-2) &lt;0),"",K8*(1-B9)/(B11+1)*B8)</f>
        <v/>
      </c>
      <c r="V20" s="72" t="str">
        <f>IF(OR(NOT(K8),(COLUMN()-3)-(B10+9)&lt;0,(B10+9+B11) - (COLUMN()-2) &lt;0),"",K8*(1-B9)/(B11+1)*B8)</f>
        <v/>
      </c>
      <c r="W20" s="72" t="str">
        <f>IF(OR(NOT(K8),(COLUMN()-3)-(B10+9)&lt;0,(B10+9+B11) - (COLUMN()-2) &lt;0),"",K8*(1-B9)/(B11+1)*B8)</f>
        <v/>
      </c>
      <c r="X20" s="72" t="str">
        <f>IF(OR(NOT(K8),(COLUMN()-3)-(B10+9)&lt;0,(B10+9+B11) - (COLUMN()-2) &lt;0),"",K8*(1-B9)/(B11+1)*B8)</f>
        <v/>
      </c>
      <c r="Y20" s="72" t="str">
        <f>IF(OR(NOT(K8),(COLUMN()-3)-(B10+9)&lt;0,(B10+9+B11) - (COLUMN()-2) &lt;0),"",K8*(1-B9)/(B11+1)*B8)</f>
        <v/>
      </c>
      <c r="Z20" s="72" t="str">
        <f>IF(OR(NOT(K8),(COLUMN()-3)-(B10+9)&lt;0,(B10+9+B11) - (COLUMN()-2) &lt;0),"",K8*(1-B9)/(B11+1)*B8)</f>
        <v/>
      </c>
      <c r="AA20" s="74" t="str">
        <f>IF(OR(NOT(K8),(COLUMN()-3)-(B10+9)&lt;0,(B10+9+B11) - (COLUMN()-2) &lt;0),"",K8*(1-B9)/(B11+1)*B8)</f>
        <v/>
      </c>
      <c r="AB20" s="74" t="str">
        <f>IF(OR(NOT(K8),(COLUMN()-3)-(B10+9)&lt;0,(B10+9+B11) - (COLUMN()-2) &lt;0),"",K8*(1-B9)/(B11+1)*B8)</f>
        <v/>
      </c>
      <c r="AC20" s="74" t="str">
        <f>IF(OR(NOT(K8),(COLUMN()-3)-(B10+9)&lt;0,(B10+9+B11) - (COLUMN()-2) &lt;0),"",K8*(1-B9)/(B11+1)*B8)</f>
        <v/>
      </c>
      <c r="AD20" s="74" t="str">
        <f>IF(OR(NOT(K8),(COLUMN()-3)-(B10+9)&lt;0,(B10+9+B11) - (COLUMN()-2) &lt;0),"",K8*(1-B9)/(B11+1)*B8)</f>
        <v/>
      </c>
      <c r="AE20" s="74" t="str">
        <f>IF(OR(NOT(K8),(COLUMN()-3)-(B10+9)&lt;0,(B10+9+B11) - (COLUMN()-2) &lt;0),"",K8*(1-B9)/(B11+1)*B8)</f>
        <v/>
      </c>
      <c r="AF20" s="74" t="str">
        <f>IF(OR(NOT(K8),(COLUMN()-3)-(B10+9)&lt;0,(B10+9+B11) - (COLUMN()-2) &lt;0),"",K8*(1-B9)/(B11+1)*B8)</f>
        <v/>
      </c>
      <c r="AG20" s="74" t="str">
        <f>IF(OR(NOT(K8),(COLUMN()-3)-(B10+9)&lt;0,(B10+9+B11) - (COLUMN()-2) &lt;0),"",K8*(1-B9)/(B11+1)*B8)</f>
        <v/>
      </c>
      <c r="AH20" s="91"/>
      <c r="AI20" s="91"/>
      <c r="AJ20" s="91"/>
      <c r="AV20" s="1">
        <f t="shared" si="3"/>
        <v>0</v>
      </c>
    </row>
    <row r="21" spans="1:48" hidden="1">
      <c r="A21" s="91"/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50" t="str">
        <f>IF(OR(NOT(L8),(COLUMN()-3)-(B10+10)&lt;0,(B10+10+B11) - (COLUMN()-2) &lt;0),"",L8*(1-B9)/(B11+1)*B8)</f>
        <v/>
      </c>
      <c r="N21" s="50" t="str">
        <f>IF(OR(NOT(L8),(COLUMN()-3)-(B10+10)&lt;0,(B10+10+B11) - (COLUMN()-2) &lt;0),"",L8*(1-B9)/(B11+1)*B8)</f>
        <v/>
      </c>
      <c r="O21" s="72" t="str">
        <f>IF(OR(NOT(L8),(COLUMN()-3)-(B10+10)&lt;0,(B10+10+B11) - (COLUMN()-2) &lt;0),"",L8*(1-B9)/(B11+1)*B8)</f>
        <v/>
      </c>
      <c r="P21" s="72" t="str">
        <f>IF(OR(NOT(L8),(COLUMN()-3)-(B10+10)&lt;0,(B10+10+B11) - (COLUMN()-2) &lt;0),"",L8*(1-B9)/(B11+1)*B8)</f>
        <v/>
      </c>
      <c r="Q21" s="72" t="str">
        <f>IF(OR(NOT(L8),(COLUMN()-3)-(B10+10)&lt;0,(B10+10+B11) - (COLUMN()-2) &lt;0),"",L8*(1-B9)/(B11+1)*B8)</f>
        <v/>
      </c>
      <c r="R21" s="72" t="str">
        <f>IF(OR(NOT(L8),(COLUMN()-3)-(B10+10)&lt;0,(B10+10+B11) - (COLUMN()-2) &lt;0),"",L8*(1-B9)/(B11+1)*B8)</f>
        <v/>
      </c>
      <c r="S21" s="72" t="str">
        <f>IF(OR(NOT(L8),(COLUMN()-3)-(B10+10)&lt;0,(B10+10+B11) - (COLUMN()-2) &lt;0),"",L8*(1-B9)/(B11+1)*B8)</f>
        <v/>
      </c>
      <c r="T21" s="72" t="str">
        <f>IF(OR(NOT(L8),(COLUMN()-3)-(B10+10)&lt;0,(B10+10+B11) - (COLUMN()-2) &lt;0),"",L8*(1-B9)/(B11+1)*B8)</f>
        <v/>
      </c>
      <c r="U21" s="72" t="str">
        <f>IF(OR(NOT(L8),(COLUMN()-3)-(B10+10)&lt;0,(B10+10+B11) - (COLUMN()-2) &lt;0),"",L8*(1-B9)/(B11+1)*B8)</f>
        <v/>
      </c>
      <c r="V21" s="72" t="str">
        <f>IF(OR(NOT(L8),(COLUMN()-3)-(B10+10)&lt;0,(B10+10+B11) - (COLUMN()-2) &lt;0),"",L8*(1-B9)/(B11+1)*B8)</f>
        <v/>
      </c>
      <c r="W21" s="72" t="str">
        <f>IF(OR(NOT(L8),(COLUMN()-3)-(B10+10)&lt;0,(B10+10+B11) - (COLUMN()-2) &lt;0),"",L8*(1-B9)/(B11+1)*B8)</f>
        <v/>
      </c>
      <c r="X21" s="72" t="str">
        <f>IF(OR(NOT(L8),(COLUMN()-3)-(B10+10)&lt;0,(B10+10+B11) - (COLUMN()-2) &lt;0),"",L8*(1-B9)/(B11+1)*B8)</f>
        <v/>
      </c>
      <c r="Y21" s="72" t="str">
        <f>IF(OR(NOT(L8),(COLUMN()-3)-(B10+10)&lt;0,(B10+10+B11) - (COLUMN()-2) &lt;0),"",L8*(1-B9)/(B11+1)*B8)</f>
        <v/>
      </c>
      <c r="Z21" s="72" t="str">
        <f>IF(OR(NOT(L8),(COLUMN()-3)-(B10+10)&lt;0,(B10+10+B11) - (COLUMN()-2) &lt;0),"",L8*(1-B9)/(B11+1)*B8)</f>
        <v/>
      </c>
      <c r="AA21" s="74" t="str">
        <f>IF(OR(NOT(L8),(COLUMN()-3)-(B10+10)&lt;0,(B10+10+B11) - (COLUMN()-2) &lt;0),"",L8*(1-B9)/(B11+1)*B8)</f>
        <v/>
      </c>
      <c r="AB21" s="74" t="str">
        <f>IF(OR(NOT(L8),(COLUMN()-3)-(B10+10)&lt;0,(B10+10+B11) - (COLUMN()-2) &lt;0),"",L8*(1-B9)/(B11+1)*B8)</f>
        <v/>
      </c>
      <c r="AC21" s="74" t="str">
        <f>IF(OR(NOT(L8),(COLUMN()-3)-(B10+10)&lt;0,(B10+10+B11) - (COLUMN()-2) &lt;0),"",L8*(1-B9)/(B11+1)*B8)</f>
        <v/>
      </c>
      <c r="AD21" s="74" t="str">
        <f>IF(OR(NOT(L8),(COLUMN()-3)-(B10+10)&lt;0,(B10+10+B11) - (COLUMN()-2) &lt;0),"",L8*(1-B9)/(B11+1)*B8)</f>
        <v/>
      </c>
      <c r="AE21" s="74" t="str">
        <f>IF(OR(NOT(L8),(COLUMN()-3)-(B10+10)&lt;0,(B10+10+B11) - (COLUMN()-2) &lt;0),"",L8*(1-B9)/(B11+1)*B8)</f>
        <v/>
      </c>
      <c r="AF21" s="74" t="str">
        <f>IF(OR(NOT(L8),(COLUMN()-3)-(B10+10)&lt;0,(B10+10+B11) - (COLUMN()-2) &lt;0),"",L8*(1-B9)/(B11+1)*B8)</f>
        <v/>
      </c>
      <c r="AG21" s="74" t="str">
        <f>IF(OR(NOT(L8),(COLUMN()-3)-(B10+10)&lt;0,(B10+10+B11) - (COLUMN()-2) &lt;0),"",L8*(1-B9)/(B11+1)*B8)</f>
        <v/>
      </c>
      <c r="AH21" s="74" t="str">
        <f>IF(OR(NOT(L8),(COLUMN()-3)-(B10+10)&lt;0,(B10+10+B11) - (COLUMN()-2) &lt;0),"",L8*(1-B9)/(B11+1)*B8)</f>
        <v/>
      </c>
      <c r="AI21" s="91"/>
      <c r="AJ21" s="91"/>
      <c r="AV21" s="1">
        <f t="shared" si="3"/>
        <v>0</v>
      </c>
    </row>
    <row r="22" spans="1:48" hidden="1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50" t="str">
        <f>IF(OR(NOT(M8),(COLUMN()-3)-(B10+11)&lt;0,(B10+11+B11) - (COLUMN()-2) &lt;0),"",M8*(1-B9)/(B11+1)*B8)</f>
        <v/>
      </c>
      <c r="O22" s="72" t="str">
        <f>IF(OR(NOT(M8),(COLUMN()-3)-(B10+11)&lt;0,(B10+11+B11) - (COLUMN()-2) &lt;0),"",M8*(1-B9)/(B11+1)*B8)</f>
        <v/>
      </c>
      <c r="P22" s="72" t="str">
        <f>IF(OR(NOT(M8),(COLUMN()-3)-(B10+11)&lt;0,(B10+11+B11) - (COLUMN()-2) &lt;0),"",M8*(1-B9)/(B11+1)*B8)</f>
        <v/>
      </c>
      <c r="Q22" s="72" t="str">
        <f>IF(OR(NOT(M8),(COLUMN()-3)-(B10+11)&lt;0,(B10+11+B11) - (COLUMN()-2) &lt;0),"",M8*(1-B9)/(B11+1)*B8)</f>
        <v/>
      </c>
      <c r="R22" s="72" t="str">
        <f>IF(OR(NOT(M8),(COLUMN()-3)-(B10+11)&lt;0,(B10+11+B11) - (COLUMN()-2) &lt;0),"",M8*(1-B9)/(B11+1)*B8)</f>
        <v/>
      </c>
      <c r="S22" s="72" t="str">
        <f>IF(OR(NOT(M8),(COLUMN()-3)-(B10+11)&lt;0,(B10+11+B11) - (COLUMN()-2) &lt;0),"",M8*(1-B9)/(B11+1)*B8)</f>
        <v/>
      </c>
      <c r="T22" s="72" t="str">
        <f>IF(OR(NOT(M8),(COLUMN()-3)-(B10+11)&lt;0,(B10+11+B11) - (COLUMN()-2) &lt;0),"",M8*(1-B9)/(B11+1)*B8)</f>
        <v/>
      </c>
      <c r="U22" s="72" t="str">
        <f>IF(OR(NOT(M8),(COLUMN()-3)-(B10+11)&lt;0,(B10+11+B11) - (COLUMN()-2) &lt;0),"",M8*(1-B9)/(B11+1)*B8)</f>
        <v/>
      </c>
      <c r="V22" s="72" t="str">
        <f>IF(OR(NOT(M8),(COLUMN()-3)-(B10+11)&lt;0,(B10+11+B11) - (COLUMN()-2) &lt;0),"",M8*(1-B9)/(B11+1)*B8)</f>
        <v/>
      </c>
      <c r="W22" s="72" t="str">
        <f>IF(OR(NOT(M8),(COLUMN()-3)-(B10+11)&lt;0,(B10+11+B11) - (COLUMN()-2) &lt;0),"",M8*(1-B9)/(B11+1)*B8)</f>
        <v/>
      </c>
      <c r="X22" s="72" t="str">
        <f>IF(OR(NOT(M8),(COLUMN()-3)-(B10+11)&lt;0,(B10+11+B11) - (COLUMN()-2) &lt;0),"",M8*(1-B9)/(B11+1)*B8)</f>
        <v/>
      </c>
      <c r="Y22" s="72" t="str">
        <f>IF(OR(NOT(M8),(COLUMN()-3)-(B10+11)&lt;0,(B10+11+B11) - (COLUMN()-2) &lt;0),"",M8*(1-B9)/(B11+1)*B8)</f>
        <v/>
      </c>
      <c r="Z22" s="72" t="str">
        <f>IF(OR(NOT(M8),(COLUMN()-3)-(B10+11)&lt;0,(B10+11+B11) - (COLUMN()-2) &lt;0),"",M8*(1-B9)/(B11+1)*B8)</f>
        <v/>
      </c>
      <c r="AA22" s="74" t="str">
        <f>IF(OR(NOT(M8),(COLUMN()-3)-(B10+11)&lt;0,(B10+11+B11) - (COLUMN()-2) &lt;0),"",M8*(1-B9)/(B11+1)*B8)</f>
        <v/>
      </c>
      <c r="AB22" s="74" t="str">
        <f>IF(OR(NOT(M8),(COLUMN()-3)-(B10+11)&lt;0,(B10+11+B11) - (COLUMN()-2) &lt;0),"",M8*(1-B9)/(B11+1)*B8)</f>
        <v/>
      </c>
      <c r="AC22" s="74" t="str">
        <f>IF(OR(NOT(M8),(COLUMN()-3)-(B10+11)&lt;0,(B10+11+B11) - (COLUMN()-2) &lt;0),"",M8*(1-B9)/(B11+1)*B8)</f>
        <v/>
      </c>
      <c r="AD22" s="74" t="str">
        <f>IF(OR(NOT(M8),(COLUMN()-3)-(B10+11)&lt;0,(B10+11+B11) - (COLUMN()-2) &lt;0),"",M8*(1-B9)/(B11+1)*B8)</f>
        <v/>
      </c>
      <c r="AE22" s="74" t="str">
        <f>IF(OR(NOT(M8),(COLUMN()-3)-(B10+11)&lt;0,(B10+11+B11) - (COLUMN()-2) &lt;0),"",M8*(1-B9)/(B11+1)*B8)</f>
        <v/>
      </c>
      <c r="AF22" s="74" t="str">
        <f>IF(OR(NOT(M8),(COLUMN()-3)-(B10+11)&lt;0,(B10+11+B11) - (COLUMN()-2) &lt;0),"",M8*(1-B9)/(B11+1)*B8)</f>
        <v/>
      </c>
      <c r="AG22" s="74" t="str">
        <f>IF(OR(NOT(M8),(COLUMN()-3)-(B10+11)&lt;0,(B10+11+B11) - (COLUMN()-2) &lt;0),"",M8*(1-B9)/(B11+1)*B8)</f>
        <v/>
      </c>
      <c r="AH22" s="74" t="str">
        <f>IF(OR(NOT(M8),(COLUMN()-3)-(B10+11)&lt;0,(B10+11+B11) - (COLUMN()-2) &lt;0),"",M8*(1-B9)/(B11+1)*B8)</f>
        <v/>
      </c>
      <c r="AI22" s="74" t="str">
        <f>IF(OR(NOT(M8),(COLUMN()-3)-(B10+11)&lt;0,(B10+11+B11) - (COLUMN()-2) &lt;0),"",M8*(1-B9)/(B11+1)*B8)</f>
        <v/>
      </c>
      <c r="AJ22" s="91"/>
      <c r="AV22" s="1">
        <f t="shared" si="3"/>
        <v>0</v>
      </c>
    </row>
    <row r="23" spans="1:48" hidden="1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72" t="str">
        <f>IF(OR(NOT(N8),(COLUMN()-3)-(B10+12)&lt;0,(B10+12+B11) - (COLUMN()-2) &lt;0),"",N8*(1-B9)/(B11+1)*B8)</f>
        <v/>
      </c>
      <c r="P23" s="72" t="str">
        <f>IF(OR(NOT(N8),(COLUMN()-3)-(B10+12)&lt;0,(B10+12+B11) - (COLUMN()-2) &lt;0),"",N8*(1-B9)/(B11+1)*B8)</f>
        <v/>
      </c>
      <c r="Q23" s="72" t="str">
        <f>IF(OR(NOT(N8),(COLUMN()-3)-(B10+12)&lt;0,(B10+12+B11) - (COLUMN()-2) &lt;0),"",N8*(1-B9)/(B11+1)*B8)</f>
        <v/>
      </c>
      <c r="R23" s="72" t="str">
        <f>IF(OR(NOT(N8),(COLUMN()-3)-(B10+12)&lt;0,(B10+12+B11) - (COLUMN()-2) &lt;0),"",N8*(1-B9)/(B11+1)*B8)</f>
        <v/>
      </c>
      <c r="S23" s="72" t="str">
        <f>IF(OR(NOT(N8),(COLUMN()-3)-(B10+12)&lt;0,(B10+12+B11) - (COLUMN()-2) &lt;0),"",N8*(1-B9)/(B11+1)*B8)</f>
        <v/>
      </c>
      <c r="T23" s="72" t="str">
        <f>IF(OR(NOT(N8),(COLUMN()-3)-(B10+12)&lt;0,(B10+12+B11) - (COLUMN()-2) &lt;0),"",N8*(1-B9)/(B11+1)*B8)</f>
        <v/>
      </c>
      <c r="U23" s="72" t="str">
        <f>IF(OR(NOT(N8),(COLUMN()-3)-(B10+12)&lt;0,(B10+12+B11) - (COLUMN()-2) &lt;0),"",N8*(1-B9)/(B11+1)*B8)</f>
        <v/>
      </c>
      <c r="V23" s="72" t="str">
        <f>IF(OR(NOT(N8),(COLUMN()-3)-(B10+12)&lt;0,(B10+12+B11) - (COLUMN()-2) &lt;0),"",N8*(1-B9)/(B11+1)*B8)</f>
        <v/>
      </c>
      <c r="W23" s="72" t="str">
        <f>IF(OR(NOT(N8),(COLUMN()-3)-(B10+12)&lt;0,(B10+12+B11) - (COLUMN()-2) &lt;0),"",N8*(1-B9)/(B11+1)*B8)</f>
        <v/>
      </c>
      <c r="X23" s="72" t="str">
        <f>IF(OR(NOT(N8),(COLUMN()-3)-(B10+12)&lt;0,(B10+12+B11) - (COLUMN()-2) &lt;0),"",N8*(1-B9)/(B11+1)*B8)</f>
        <v/>
      </c>
      <c r="Y23" s="72" t="str">
        <f>IF(OR(NOT(N8),(COLUMN()-3)-(B10+12)&lt;0,(B10+12+B11) - (COLUMN()-2) &lt;0),"",N8*(1-B9)/(B11+1)*B8)</f>
        <v/>
      </c>
      <c r="Z23" s="72" t="str">
        <f>IF(OR(NOT(N8),(COLUMN()-3)-(B10+12)&lt;0,(B10+12+B11) - (COLUMN()-2) &lt;0),"",N8*(1-B9)/(B11+1)*B8)</f>
        <v/>
      </c>
      <c r="AA23" s="74" t="str">
        <f>IF(OR(NOT(N8),(COLUMN()-3)-(B10+12)&lt;0,(B10+12+B11) - (COLUMN()-2) &lt;0),"",N8*(1-B9)/(B11+1)*B8)</f>
        <v/>
      </c>
      <c r="AB23" s="74" t="str">
        <f>IF(OR(NOT(N8),(COLUMN()-3)-(B10+12)&lt;0,(B10+12+B11) - (COLUMN()-2) &lt;0),"",N8*(1-B9)/(B11+1)*B8)</f>
        <v/>
      </c>
      <c r="AC23" s="74" t="str">
        <f>IF(OR(NOT(N8),(COLUMN()-3)-(B10+12)&lt;0,(B10+12+B11) - (COLUMN()-2) &lt;0),"",N8*(1-B9)/(B11+1)*B8)</f>
        <v/>
      </c>
      <c r="AD23" s="74" t="str">
        <f>IF(OR(NOT(N8),(COLUMN()-3)-(B10+12)&lt;0,(B10+12+B11) - (COLUMN()-2) &lt;0),"",N8*(1-B9)/(B11+1)*B8)</f>
        <v/>
      </c>
      <c r="AE23" s="74" t="str">
        <f>IF(OR(NOT(N8),(COLUMN()-3)-(B10+12)&lt;0,(B10+12+B11) - (COLUMN()-2) &lt;0),"",N8*(1-B9)/(B11+1)*B8)</f>
        <v/>
      </c>
      <c r="AF23" s="74" t="str">
        <f>IF(OR(NOT(N8),(COLUMN()-3)-(B10+12)&lt;0,(B10+12+B11) - (COLUMN()-2) &lt;0),"",N8*(1-B9)/(B11+1)*B8)</f>
        <v/>
      </c>
      <c r="AG23" s="74" t="str">
        <f>IF(OR(NOT(N8),(COLUMN()-3)-(B10+12)&lt;0,(B10+12+B11) - (COLUMN()-2) &lt;0),"",N8*(1-B9)/(B11+1)*B8)</f>
        <v/>
      </c>
      <c r="AH23" s="74" t="str">
        <f>IF(OR(NOT(N8),(COLUMN()-3)-(B10+12)&lt;0,(B10+12+B11) - (COLUMN()-2) &lt;0),"",N8*(1-B9)/(B11+1)*B8)</f>
        <v/>
      </c>
      <c r="AI23" s="74" t="str">
        <f>IF(OR(NOT(N8),(COLUMN()-3)-(B10+12)&lt;0,(B10+12+B11) - (COLUMN()-2) &lt;0),"",N8*(1-B9)/(B11+1)*B8)</f>
        <v/>
      </c>
      <c r="AJ23" s="74" t="str">
        <f>IF(OR(NOT(N8),(COLUMN()-3)-(B10+12)&lt;0,(B10+12+B11) - (COLUMN()-2) &lt;0),"",N8*(1-B9)/(B11+1)*B8)</f>
        <v/>
      </c>
    </row>
    <row r="24" spans="1:48">
      <c r="A24" s="90" t="s">
        <v>85</v>
      </c>
      <c r="B24" s="52"/>
      <c r="C24" s="92" t="str">
        <f>IF(-SUM(C9:C10)*B24,-SUM(C9:C10)*B24,"")</f>
        <v/>
      </c>
      <c r="D24" s="92" t="str">
        <f>IF(-SUM(D9:D11)*B24,-SUM(D9:D11)*B24,"")</f>
        <v/>
      </c>
      <c r="E24" s="92" t="str">
        <f>IF(-SUM(E9:E11)*B24,-SUM(E9:E11)*B24,"")</f>
        <v/>
      </c>
      <c r="F24" s="92" t="str">
        <f>IF(-SUM(F9:F11)*B24,-SUM(F9:F11)*B24,"")</f>
        <v/>
      </c>
      <c r="G24" s="92" t="str">
        <f>IF(-SUM(G9:G11)*B24,-SUM(G9:G11)*B24,"")</f>
        <v/>
      </c>
      <c r="H24" s="92" t="str">
        <f>IF(-SUM(H9:H11)*B24,-SUM(H9:H11)*B24,"")</f>
        <v/>
      </c>
      <c r="I24" s="92" t="str">
        <f>IF(-SUM(I9:I11)*B24,-SUM(I9:I11)*B24,"")</f>
        <v/>
      </c>
      <c r="J24" s="92" t="str">
        <f>IF(-SUM(J9:J11)*B24,-SUM(J9:J11)*B24,"")</f>
        <v/>
      </c>
      <c r="K24" s="92" t="str">
        <f>IF(-SUM(K9:K11)*B24,-SUM(K9:K11)*B24,"")</f>
        <v/>
      </c>
      <c r="L24" s="92" t="str">
        <f>IF(-SUM(L9:L11)*B24,-SUM(L9:L11)*B24,"")</f>
        <v/>
      </c>
      <c r="M24" s="92" t="str">
        <f>IF(-SUM(M9:M11)*B24,-SUM(M9:M11)*B24,"")</f>
        <v/>
      </c>
      <c r="N24" s="92" t="str">
        <f>IF(-SUM(N9:N11)*B24,-SUM(N9:N11)*B24,"")</f>
        <v/>
      </c>
      <c r="O24" s="92" t="str">
        <f>IF(-SUM(O10:O11)*B24,-SUM(O10:O11)*B24,"")</f>
        <v/>
      </c>
      <c r="P24" s="92" t="str">
        <f>IF(-SUM(P10:P11)*B24,-SUM(P10:P11)*B24,"")</f>
        <v/>
      </c>
      <c r="Q24" s="92" t="str">
        <f>IF(-SUM(Q10:Q11)*B24,-SUM(Q10:Q11)*B24,"")</f>
        <v/>
      </c>
      <c r="R24" s="92" t="str">
        <f>IF(-SUM(R10:R11)*B24,-SUM(R10:R11)*B24,"")</f>
        <v/>
      </c>
      <c r="S24" s="92" t="str">
        <f>IF(-SUM(S10:S11)*B24,-SUM(S10:S11)*B24,"")</f>
        <v/>
      </c>
      <c r="T24" s="92" t="str">
        <f>IF(-SUM(T10:T11)*B24,-SUM(T10:T11)*B24,"")</f>
        <v/>
      </c>
      <c r="U24" s="92" t="str">
        <f>IF(-SUM(U10:U11)*B24,-SUM(U10:U11)*B24,"")</f>
        <v/>
      </c>
      <c r="V24" s="92" t="str">
        <f>IF(-SUM(V10:V11)*B24,-SUM(V10:V11)*B24,"")</f>
        <v/>
      </c>
      <c r="W24" s="92" t="str">
        <f>IF(-SUM(W10:W11)*B24,-SUM(W10:W11)*B24,"")</f>
        <v/>
      </c>
      <c r="X24" s="92" t="str">
        <f>IF(-SUM(X10:X11)*B24,-SUM(X10:X11)*B24,"")</f>
        <v/>
      </c>
      <c r="Y24" s="92" t="str">
        <f>IF(-SUM(Y10:Y11)*B24,-SUM(Y10:Y11)*B24,"")</f>
        <v/>
      </c>
      <c r="Z24" s="92" t="str">
        <f>IF(-SUM(Z11)*B24,-Z11*B24,"")</f>
        <v/>
      </c>
      <c r="AA24" s="92" t="str">
        <f>IF(-SUM(AA11),-AA11*B24,"")</f>
        <v/>
      </c>
      <c r="AB24" s="92" t="str">
        <f>IF(-SUM(AB11)*B24,-AB11*B24,"")</f>
        <v/>
      </c>
      <c r="AC24" s="92" t="str">
        <f>IF(-SUM(AC11)*B24,-AC11*B24,"")</f>
        <v/>
      </c>
      <c r="AD24" s="92" t="str">
        <f>IF(-SUM(AD11)*B24,-AD11*B24,"")</f>
        <v/>
      </c>
      <c r="AE24" s="92" t="str">
        <f>IF(-SUM(AE11)*B24,-AE11*B24,"")</f>
        <v/>
      </c>
      <c r="AF24" s="92" t="str">
        <f>IF(-SUM(AF11)*B24,-AF11*B24,"")</f>
        <v/>
      </c>
      <c r="AG24" s="92" t="str">
        <f>IF(-SUM(AG11)*B24,-AG11*B24,"")</f>
        <v/>
      </c>
      <c r="AH24" s="92" t="str">
        <f>IF(-SUM(AH11)*B24,-AH11*B24,"")</f>
        <v/>
      </c>
      <c r="AI24" s="92" t="str">
        <f>IF(-SUM(AI11)*B24,-AI11*B24,"")</f>
        <v/>
      </c>
      <c r="AJ24" s="92" t="str">
        <f>IF(-SUM(AJ11)*B24,-AJ11*B24,"")</f>
        <v/>
      </c>
      <c r="AK24" s="1"/>
    </row>
    <row r="25" spans="1:48" ht="15" thickBot="1">
      <c r="A25" s="90" t="s">
        <v>86</v>
      </c>
      <c r="B25" s="4"/>
      <c r="C25" s="92" t="str">
        <f>IF(-B25*C8,-B25*C8,"")</f>
        <v/>
      </c>
      <c r="D25" s="92" t="str">
        <f>IF(-B25*D8,-B25*D8,"")</f>
        <v/>
      </c>
      <c r="E25" s="92" t="str">
        <f>IF(-B25*E8,-B25*E8,"")</f>
        <v/>
      </c>
      <c r="F25" s="92" t="str">
        <f>IF(-B25*F8,-B25*F8,"")</f>
        <v/>
      </c>
      <c r="G25" s="92" t="str">
        <f>IF(-B25*G8,-B25*G8,"")</f>
        <v/>
      </c>
      <c r="H25" s="92" t="str">
        <f>IF(-B25*H8,-B25*H8,"")</f>
        <v/>
      </c>
      <c r="I25" s="92" t="str">
        <f>IF(-B25*I8,-B25*I8,"")</f>
        <v/>
      </c>
      <c r="J25" s="92" t="str">
        <f>IF(-B25*J8,-B25*J8,"")</f>
        <v/>
      </c>
      <c r="K25" s="92" t="str">
        <f>IF(-B25*K8,-B25*K8,"")</f>
        <v/>
      </c>
      <c r="L25" s="92" t="str">
        <f>IF(-B25*L8,-B25*L8,"")</f>
        <v/>
      </c>
      <c r="M25" s="92" t="str">
        <f>IF(-B25*M8,-B25*M8,"")</f>
        <v/>
      </c>
      <c r="N25" s="92" t="str">
        <f>IF(-B25*N8,-B25*N8,"")</f>
        <v/>
      </c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1"/>
    </row>
    <row r="26" spans="1:48" ht="18.600000000000001" thickBot="1">
      <c r="B26" s="96" t="s">
        <v>87</v>
      </c>
      <c r="C26" s="93">
        <f>SUM(C9:C10)+SUM(C24:C25)</f>
        <v>0</v>
      </c>
      <c r="D26" s="93">
        <f>SUM(D9:D11)+SUM(D24:D25)</f>
        <v>0</v>
      </c>
      <c r="E26" s="93">
        <f t="shared" ref="E26:N26" si="4">SUM(E9:E11)+SUM(E24:E25)</f>
        <v>0</v>
      </c>
      <c r="F26" s="93">
        <f t="shared" si="4"/>
        <v>0</v>
      </c>
      <c r="G26" s="93">
        <f t="shared" si="4"/>
        <v>0</v>
      </c>
      <c r="H26" s="93">
        <f t="shared" si="4"/>
        <v>0</v>
      </c>
      <c r="I26" s="93">
        <f t="shared" si="4"/>
        <v>0</v>
      </c>
      <c r="J26" s="93">
        <f t="shared" si="4"/>
        <v>0</v>
      </c>
      <c r="K26" s="93">
        <f t="shared" si="4"/>
        <v>0</v>
      </c>
      <c r="L26" s="93">
        <f t="shared" si="4"/>
        <v>0</v>
      </c>
      <c r="M26" s="93">
        <f t="shared" si="4"/>
        <v>0</v>
      </c>
      <c r="N26" s="93">
        <f t="shared" si="4"/>
        <v>0</v>
      </c>
      <c r="O26" s="94">
        <f>SUM(O10:O11)+SUM(O24)</f>
        <v>0</v>
      </c>
      <c r="P26" s="94">
        <f t="shared" ref="P26:Y26" si="5">SUM(P10:P11)+SUM(P24)</f>
        <v>0</v>
      </c>
      <c r="Q26" s="94">
        <f t="shared" si="5"/>
        <v>0</v>
      </c>
      <c r="R26" s="94">
        <f t="shared" si="5"/>
        <v>0</v>
      </c>
      <c r="S26" s="94">
        <f t="shared" si="5"/>
        <v>0</v>
      </c>
      <c r="T26" s="94">
        <f t="shared" si="5"/>
        <v>0</v>
      </c>
      <c r="U26" s="94">
        <f t="shared" si="5"/>
        <v>0</v>
      </c>
      <c r="V26" s="94">
        <f t="shared" si="5"/>
        <v>0</v>
      </c>
      <c r="W26" s="94">
        <f t="shared" si="5"/>
        <v>0</v>
      </c>
      <c r="X26" s="94">
        <f t="shared" si="5"/>
        <v>0</v>
      </c>
      <c r="Y26" s="94">
        <f t="shared" si="5"/>
        <v>0</v>
      </c>
      <c r="Z26" s="94">
        <f>SUM(Z11)+SUM(Z24)</f>
        <v>0</v>
      </c>
      <c r="AA26" s="95">
        <f t="shared" ref="AA26:AJ26" si="6">SUM(AA11)+SUM(AA24)</f>
        <v>0</v>
      </c>
      <c r="AB26" s="95">
        <f t="shared" si="6"/>
        <v>0</v>
      </c>
      <c r="AC26" s="95">
        <f t="shared" si="6"/>
        <v>0</v>
      </c>
      <c r="AD26" s="95">
        <f t="shared" si="6"/>
        <v>0</v>
      </c>
      <c r="AE26" s="95">
        <f t="shared" si="6"/>
        <v>0</v>
      </c>
      <c r="AF26" s="95">
        <f t="shared" si="6"/>
        <v>0</v>
      </c>
      <c r="AG26" s="95">
        <f t="shared" si="6"/>
        <v>0</v>
      </c>
      <c r="AH26" s="95">
        <f t="shared" si="6"/>
        <v>0</v>
      </c>
      <c r="AI26" s="95">
        <f t="shared" si="6"/>
        <v>0</v>
      </c>
      <c r="AJ26" s="95">
        <f t="shared" si="6"/>
        <v>0</v>
      </c>
      <c r="AK26" s="1"/>
    </row>
    <row r="27" spans="1:48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48">
      <c r="A28" s="86" t="str">
        <f>IF('Reverse Engineering Valuation'!A28 = "","    ---    ",'Reverse Engineering Valuation'!A28)</f>
        <v>Kilter Tilter -Therapy Version</v>
      </c>
      <c r="B28" s="87" t="str">
        <f>IF(ROUND(B34,1)&gt;0,CONCATENATE("Under by ",ROUND(B34,1)), IF(ROUND(B34,1)&lt;0, CONCATENATE("OVER BY ",ROUND(B34,1)), "You Matched"))</f>
        <v>Under by 36</v>
      </c>
      <c r="C28" s="85">
        <f>'Year 3'!C7</f>
        <v>45658</v>
      </c>
      <c r="D28" s="85">
        <f>'Year 3'!D7</f>
        <v>45689</v>
      </c>
      <c r="E28" s="85">
        <f>'Year 3'!E7</f>
        <v>45717</v>
      </c>
      <c r="F28" s="85">
        <f>'Year 3'!F7</f>
        <v>45748</v>
      </c>
      <c r="G28" s="85">
        <f>'Year 3'!G7</f>
        <v>45778</v>
      </c>
      <c r="H28" s="85">
        <f>'Year 3'!H7</f>
        <v>45809</v>
      </c>
      <c r="I28" s="85">
        <f>'Year 3'!I7</f>
        <v>45839</v>
      </c>
      <c r="J28" s="85">
        <f>'Year 3'!J7</f>
        <v>45870</v>
      </c>
      <c r="K28" s="85">
        <f>'Year 3'!K7</f>
        <v>45901</v>
      </c>
      <c r="L28" s="85">
        <f>'Year 3'!L7</f>
        <v>45931</v>
      </c>
      <c r="M28" s="85">
        <f>'Year 3'!M7</f>
        <v>45962</v>
      </c>
      <c r="N28" s="85">
        <f>'Year 3'!N7</f>
        <v>45992</v>
      </c>
      <c r="O28" s="88" t="str">
        <f t="shared" ref="O28:AJ28" si="7" xml:space="preserve">  CONCATENATE("Ext +", COLUMN()-14)</f>
        <v>Ext +1</v>
      </c>
      <c r="P28" s="88" t="str">
        <f t="shared" si="7"/>
        <v>Ext +2</v>
      </c>
      <c r="Q28" s="88" t="str">
        <f t="shared" si="7"/>
        <v>Ext +3</v>
      </c>
      <c r="R28" s="88" t="str">
        <f t="shared" si="7"/>
        <v>Ext +4</v>
      </c>
      <c r="S28" s="88" t="str">
        <f t="shared" si="7"/>
        <v>Ext +5</v>
      </c>
      <c r="T28" s="88" t="str">
        <f t="shared" si="7"/>
        <v>Ext +6</v>
      </c>
      <c r="U28" s="88" t="str">
        <f t="shared" si="7"/>
        <v>Ext +7</v>
      </c>
      <c r="V28" s="88" t="str">
        <f t="shared" si="7"/>
        <v>Ext +8</v>
      </c>
      <c r="W28" s="88" t="str">
        <f t="shared" si="7"/>
        <v>Ext +9</v>
      </c>
      <c r="X28" s="88" t="str">
        <f t="shared" si="7"/>
        <v>Ext +10</v>
      </c>
      <c r="Y28" s="88" t="str">
        <f t="shared" si="7"/>
        <v>Ext +11</v>
      </c>
      <c r="Z28" s="88" t="str">
        <f t="shared" si="7"/>
        <v>Ext +12</v>
      </c>
      <c r="AA28" s="89" t="str">
        <f t="shared" si="7"/>
        <v>Ext +13</v>
      </c>
      <c r="AB28" s="89" t="str">
        <f t="shared" si="7"/>
        <v>Ext +14</v>
      </c>
      <c r="AC28" s="89" t="str">
        <f t="shared" si="7"/>
        <v>Ext +15</v>
      </c>
      <c r="AD28" s="89" t="str">
        <f t="shared" si="7"/>
        <v>Ext +16</v>
      </c>
      <c r="AE28" s="89" t="str">
        <f t="shared" si="7"/>
        <v>Ext +17</v>
      </c>
      <c r="AF28" s="89" t="str">
        <f t="shared" si="7"/>
        <v>Ext +18</v>
      </c>
      <c r="AG28" s="89" t="str">
        <f t="shared" si="7"/>
        <v>Ext +19</v>
      </c>
      <c r="AH28" s="89" t="str">
        <f t="shared" si="7"/>
        <v>Ext +20</v>
      </c>
      <c r="AI28" s="89" t="str">
        <f t="shared" si="7"/>
        <v>Ext +21</v>
      </c>
      <c r="AJ28" s="89" t="str">
        <f t="shared" si="7"/>
        <v>Ext +22</v>
      </c>
    </row>
    <row r="29" spans="1:48">
      <c r="A29" s="90" t="str">
        <f>A8</f>
        <v xml:space="preserve">Number of customers @ </v>
      </c>
      <c r="B29" s="50">
        <f>'Reverse Engineering Valuation'!B28</f>
        <v>3999</v>
      </c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1"/>
      <c r="AL29" s="1"/>
    </row>
    <row r="30" spans="1:48">
      <c r="A30" s="90" t="s">
        <v>80</v>
      </c>
      <c r="B30" s="52"/>
      <c r="C30" s="50" t="str">
        <f>IF(C29*B30*B29,C29*B30*B29,"")</f>
        <v/>
      </c>
      <c r="D30" s="50" t="str">
        <f>IF(D29*B30*B29,D29*B30*B29,"")</f>
        <v/>
      </c>
      <c r="E30" s="50" t="str">
        <f>IF(E29*B30*B29,E29*B30*B29,"")</f>
        <v/>
      </c>
      <c r="F30" s="50" t="str">
        <f>IF(F29*B30*B29,F29*B30*B29,"")</f>
        <v/>
      </c>
      <c r="G30" s="50" t="str">
        <f>IF(G29*B30*B29,G29*B30*B29,"")</f>
        <v/>
      </c>
      <c r="H30" s="50" t="str">
        <f>IF(H29*B30*B29,H29*B30*B29,"")</f>
        <v/>
      </c>
      <c r="I30" s="50" t="str">
        <f>IF(I29*B30*B29,I29*B30*B29,"")</f>
        <v/>
      </c>
      <c r="J30" s="50" t="str">
        <f>IF(J29*B30*B29,J29*B30*B29,"")</f>
        <v/>
      </c>
      <c r="K30" s="50" t="str">
        <f>IF(K29*B30*B29,K29*B30*B29,"")</f>
        <v/>
      </c>
      <c r="L30" s="50" t="str">
        <f>IF(L29*B30*B29,L29*B30*B29,"")</f>
        <v/>
      </c>
      <c r="M30" s="50" t="str">
        <f>IF(M29*B30*B29,M29*B30*B29,"")</f>
        <v/>
      </c>
      <c r="N30" s="50" t="str">
        <f>IF(N29*B30*B29,N29*B30*B29,"")</f>
        <v/>
      </c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1"/>
    </row>
    <row r="31" spans="1:48">
      <c r="A31" s="90" t="s">
        <v>81</v>
      </c>
      <c r="B31" s="53"/>
      <c r="C31" s="50" t="str">
        <f>IF(IF((COLUMN()-2-B31)&gt;0,INDEX(C29:Z29,1, (COLUMN()-2-B31)),0)&gt;=1,(B29* IF((COLUMN()-2-B31)&gt;0,INDEX(C29:Z29,1, (COLUMN()-2-B31)),0)*(1-B30))/(B32+1),"")</f>
        <v/>
      </c>
      <c r="D31" s="50" t="str">
        <f>IF(IF((COLUMN()-2-B31)&gt;0,INDEX(C29:Z29,1, (COLUMN()-2-B31)),0)&gt;=1,(B29* IF((COLUMN()-2-B31)&gt;0,INDEX(C29:Z29,1, (COLUMN()-2-B31)),0)*(1-B30))/(B32+1),"")</f>
        <v/>
      </c>
      <c r="E31" s="50" t="str">
        <f>IF(IF((COLUMN()-2-B31)&gt;0,INDEX(C29:Z29,1, (COLUMN()-2-B31)),0)&gt;=1,(B29* IF((COLUMN()-2-B31)&gt;0,INDEX(C29:Z29,1, (COLUMN()-2-B31)),0)*(1-B30))/(B32+1),"")</f>
        <v/>
      </c>
      <c r="F31" s="50" t="str">
        <f>IF(IF((COLUMN()-2-B31)&gt;0,INDEX(C29:Z29,1, (COLUMN()-2-B31)),0)&gt;=1,(B29* IF((COLUMN()-2-B31)&gt;0,INDEX(C29:Z29,1, (COLUMN()-2-B31)),0)*(1-B30))/(B32+1),"")</f>
        <v/>
      </c>
      <c r="G31" s="50" t="str">
        <f>IF(IF((COLUMN()-2-B31)&gt;0,INDEX(C29:Z29,1, (COLUMN()-2-B31)),0)&gt;=1,(B29* IF((COLUMN()-2-B31)&gt;0,INDEX(C29:Z29,1, (COLUMN()-2-B31)),0)*(1-B30))/(B32+1),"")</f>
        <v/>
      </c>
      <c r="H31" s="50" t="str">
        <f>IF(IF((COLUMN()-2-B31)&gt;0,INDEX(C29:Z29,1, (COLUMN()-2-B31)),0)&gt;=1,(B29* IF((COLUMN()-2-B31)&gt;0,INDEX(C29:Z29,1, (COLUMN()-2-B31)),0)*(1-B30))/(B32+1),"")</f>
        <v/>
      </c>
      <c r="I31" s="50" t="str">
        <f>IF(IF((COLUMN()-2-B31)&gt;0,INDEX(C29:Z29,1, (COLUMN()-2-B31)),0)&gt;=1,(B29* IF((COLUMN()-2-B31)&gt;0,INDEX(C29:Z29,1, (COLUMN()-2-B31)),0)*(1-B30))/(B32+1),"")</f>
        <v/>
      </c>
      <c r="J31" s="50" t="str">
        <f>IF(IF((COLUMN()-2-B31)&gt;0,INDEX(C29:Z29,1, (COLUMN()-2-B31)),0)&gt;=1,(B29* IF((COLUMN()-2-B31)&gt;0,INDEX(C29:Z29,1, (COLUMN()-2-B31)),0)*(1-B30))/(B32+1),"")</f>
        <v/>
      </c>
      <c r="K31" s="50" t="str">
        <f>IF(IF((COLUMN()-2-B31)&gt;0,INDEX(C29:Z29,1, (COLUMN()-2-B31)),0)&gt;=1,(B29* IF((COLUMN()-2-B31)&gt;0,INDEX(C29:Z29,1, (COLUMN()-2-B31)),0)*(1-B30))/(B32+1),"")</f>
        <v/>
      </c>
      <c r="L31" s="50" t="str">
        <f>IF(IF((COLUMN()-2-B31)&gt;0,INDEX(C29:Z29,1, (COLUMN()-2-B31)),0)&gt;=1,(B29* IF((COLUMN()-2-B31)&gt;0,INDEX(C29:Z29,1, (COLUMN()-2-B31)),0)*(1-B30))/(B32+1),"")</f>
        <v/>
      </c>
      <c r="M31" s="50" t="str">
        <f>IF(IF((COLUMN()-2-B31)&gt;0,INDEX(C29:Z29,1, (COLUMN()-2-B31)),0)&gt;=1,(B29* IF((COLUMN()-2-B31)&gt;0,INDEX(C29:Z29,1, (COLUMN()-2-B31)),0)*(1-B30))/(B32+1),"")</f>
        <v/>
      </c>
      <c r="N31" s="50" t="str">
        <f>IF(IF((COLUMN()-2-B31)&gt;0,INDEX(C29:Z29,1, (COLUMN()-2-B31)),0)&gt;=1,(B29* IF((COLUMN()-2-B31)&gt;0,INDEX(C29:Z29,1, (COLUMN()-2-B31)),0)*(1-B30))/(B32+1),"")</f>
        <v/>
      </c>
      <c r="O31" s="72" t="str">
        <f>IF(IF((COLUMN()-2-B31)&gt;0,INDEX(C29:Z29,1, (COLUMN()-2-B31)),0)&gt;=1,(B29* IF((COLUMN()-2-B31)&gt;0,INDEX(C29:Z29,1, (COLUMN()-2-B31)),0)*(1-B30))/(B32+1),"")</f>
        <v/>
      </c>
      <c r="P31" s="72" t="str">
        <f>IF(IF((COLUMN()-2-B31)&gt;0,INDEX(C29:Z29,1, (COLUMN()-2-B31)),0)&gt;=1,(B29* IF((COLUMN()-2-B31)&gt;0,INDEX(C29:Z29,1, (COLUMN()-2-B31)),0)*(1-B30))/(B32+1),"")</f>
        <v/>
      </c>
      <c r="Q31" s="72" t="str">
        <f>IF(IF((COLUMN()-2-B31)&gt;0,INDEX(C29:Z29,1, (COLUMN()-2-B31)),0)&gt;=1,(B29* IF((COLUMN()-2-B31)&gt;0,INDEX(C29:Z29,1, (COLUMN()-2-B31)),0)*(1-B30))/(B32+1),"")</f>
        <v/>
      </c>
      <c r="R31" s="72" t="str">
        <f>IF(IF((COLUMN()-2-B31)&gt;0,INDEX(C29:Z29,1, (COLUMN()-2-B31)),0)&gt;=1,(B29* IF((COLUMN()-2-B31)&gt;0,INDEX(C29:Z29,1, (COLUMN()-2-B31)),0)*(1-B30))/(B32+1),"")</f>
        <v/>
      </c>
      <c r="S31" s="72" t="str">
        <f>IF(IF((COLUMN()-2-B31)&gt;0,INDEX(C29:Z29,1, (COLUMN()-2-B31)),0)&gt;=1,(B29* IF((COLUMN()-2-B31)&gt;0,INDEX(C29:Z29,1, (COLUMN()-2-B31)),0)*(1-B30))/(B32+1),"")</f>
        <v/>
      </c>
      <c r="T31" s="72" t="str">
        <f>IF(IF((COLUMN()-2-B31)&gt;0,INDEX(C29:Z29,1, (COLUMN()-2-B31)),0)&gt;=1,(B29* IF((COLUMN()-2-B31)&gt;0,INDEX(C29:Z29,1, (COLUMN()-2-B31)),0)*(1-B30))/(B32+1),"")</f>
        <v/>
      </c>
      <c r="U31" s="72" t="str">
        <f>IF(IF((COLUMN()-2-B31)&gt;0,INDEX(C29:Z29,1, (COLUMN()-2-B31)),0)&gt;=1,(B29* IF((COLUMN()-2-B31)&gt;0,INDEX(C29:Z29,1, (COLUMN()-2-B31)),0)*(1-B30))/(B32+1),"")</f>
        <v/>
      </c>
      <c r="V31" s="72" t="str">
        <f>IF(IF((COLUMN()-2-B31)&gt;0,INDEX(C29:Z29,1, (COLUMN()-2-B31)),0)&gt;=1,(B29* IF((COLUMN()-2-B31)&gt;0,INDEX(C29:Z29,1, (COLUMN()-2-B31)),0)*(1-B30))/(B32+1),"")</f>
        <v/>
      </c>
      <c r="W31" s="72" t="str">
        <f>IF(IF((COLUMN()-2-B31)&gt;0,INDEX(C29:Z29,1, (COLUMN()-2-B31)),0)&gt;=1,(B29* IF((COLUMN()-2-B31)&gt;0,INDEX(C29:Z29,1, (COLUMN()-2-B31)),0)*(1-B30))/(B32+1),"")</f>
        <v/>
      </c>
      <c r="X31" s="72" t="str">
        <f>IF(IF((COLUMN()-2-B31)&gt;0,INDEX(C29:Z29,1, (COLUMN()-2-B31)),0)&gt;=1,(B29* IF((COLUMN()-2-B31)&gt;0,INDEX(C29:Z29,1, (COLUMN()-2-B31)),0)*(1-B30))/(B32+1),"")</f>
        <v/>
      </c>
      <c r="Y31" s="72" t="str">
        <f>IF(IF((COLUMN()-2-B31)&gt;0,INDEX(C29:Z29,1, (COLUMN()-2-B31)),0)&gt;=1,(B29* IF((COLUMN()-2-B31)&gt;0,INDEX(C29:Z29,1, (COLUMN()-2-B31)),0)*(1-B30))/(B32+1),"")</f>
        <v/>
      </c>
      <c r="Z31" s="91" t="str">
        <f>IF(IF((COLUMN()-2-B31)&gt;0,INDEX(C29:Z29,1, (COLUMN()-2-B31)),0)&gt;=1,(B29* IF((COLUMN()-2-B31)&gt;0,INDEX(C29:Z29,1, (COLUMN()-2-B31)),0)*(1-B30))/(B32+1),"")</f>
        <v/>
      </c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1"/>
    </row>
    <row r="32" spans="1:48">
      <c r="A32" s="90" t="s">
        <v>82</v>
      </c>
      <c r="B32" s="53"/>
      <c r="C32" s="91"/>
      <c r="D32" s="50" t="str">
        <f>IF(SUM(D33),SUM(D33),"")</f>
        <v/>
      </c>
      <c r="E32" s="50" t="str">
        <f>IF(SUM(E33:E34),SUM(E33:E34),"")</f>
        <v/>
      </c>
      <c r="F32" s="50" t="str">
        <f>IF(SUM(F33:F35),SUM(F33:F35),"")</f>
        <v/>
      </c>
      <c r="G32" s="50" t="str">
        <f>IF(SUM(G33:G36),SUM(G33:G36),"")</f>
        <v/>
      </c>
      <c r="H32" s="50" t="str">
        <f>IF(SUM(H33:H37),SUM(H33:H37),"")</f>
        <v/>
      </c>
      <c r="I32" s="50" t="str">
        <f>IF(SUM(I33:I38),SUM(I33:I38),"")</f>
        <v/>
      </c>
      <c r="J32" s="50" t="str">
        <f>IF(SUM(J33:J39),SUM(J33:J39),"")</f>
        <v/>
      </c>
      <c r="K32" s="50" t="str">
        <f>IF(SUM(K33:K40),SUM(K33:K40),"")</f>
        <v/>
      </c>
      <c r="L32" s="50" t="str">
        <f>IF(SUM(L33:L41),SUM(L33:L41),"")</f>
        <v/>
      </c>
      <c r="M32" s="50" t="str">
        <f>IF(SUM(M33:M42),SUM(M33:M42),"")</f>
        <v/>
      </c>
      <c r="N32" s="50" t="str">
        <f>IF(SUM(N33:N43),SUM(N33:N43),"")</f>
        <v/>
      </c>
      <c r="O32" s="72" t="str">
        <f t="shared" ref="O32:Z32" si="8">IF(SUM(O33:O44),SUM(O33:O44),"")</f>
        <v/>
      </c>
      <c r="P32" s="72" t="str">
        <f t="shared" si="8"/>
        <v/>
      </c>
      <c r="Q32" s="72" t="str">
        <f t="shared" si="8"/>
        <v/>
      </c>
      <c r="R32" s="72" t="str">
        <f t="shared" si="8"/>
        <v/>
      </c>
      <c r="S32" s="72" t="str">
        <f t="shared" si="8"/>
        <v/>
      </c>
      <c r="T32" s="72" t="str">
        <f t="shared" si="8"/>
        <v/>
      </c>
      <c r="U32" s="72" t="str">
        <f t="shared" si="8"/>
        <v/>
      </c>
      <c r="V32" s="72" t="str">
        <f t="shared" si="8"/>
        <v/>
      </c>
      <c r="W32" s="72" t="str">
        <f t="shared" si="8"/>
        <v/>
      </c>
      <c r="X32" s="72" t="str">
        <f t="shared" si="8"/>
        <v/>
      </c>
      <c r="Y32" s="72" t="str">
        <f t="shared" si="8"/>
        <v/>
      </c>
      <c r="Z32" s="72" t="str">
        <f t="shared" si="8"/>
        <v/>
      </c>
      <c r="AA32" s="74" t="str">
        <f>IF(SUM(AA35:AA44),SUM(AA35:AA44),"")</f>
        <v/>
      </c>
      <c r="AB32" s="74" t="str">
        <f>IF(SUM(AB36:AB44),SUM(AB36:AB44),"")</f>
        <v/>
      </c>
      <c r="AC32" s="74" t="str">
        <f>IF(SUM(AC37:AC44),SUM(AC37:AC44),"")</f>
        <v/>
      </c>
      <c r="AD32" s="74" t="str">
        <f>IF(SUM(AD38:AD44),SUM(AD38:AD44),"")</f>
        <v/>
      </c>
      <c r="AE32" s="74" t="str">
        <f>IF(SUM(AE39:AE44),SUM(AE39:AE44),"")</f>
        <v/>
      </c>
      <c r="AF32" s="74" t="str">
        <f>IF(SUM(AF40:AF44),SUM(AF40:AF44),"")</f>
        <v/>
      </c>
      <c r="AG32" s="74" t="str">
        <f>IF(SUM(AG41:AG44),SUM(AG41:AG44),"")</f>
        <v/>
      </c>
      <c r="AH32" s="74" t="str">
        <f>IF(SUM(AH42:AH44),SUM(AH42:AH44),"")</f>
        <v/>
      </c>
      <c r="AI32" s="74" t="str">
        <f>IF(SUM(AI43:AI44),SUM(AI43:AI44),"")</f>
        <v/>
      </c>
      <c r="AJ32" s="74" t="str">
        <f>IF(SUM(AJ44),SUM(AJ44),"")</f>
        <v/>
      </c>
      <c r="AK32" s="1"/>
      <c r="AL32" s="1"/>
    </row>
    <row r="33" spans="1:37" hidden="1">
      <c r="A33" s="90" t="s">
        <v>83</v>
      </c>
      <c r="B33" s="51">
        <f>IF('Reverse Engineering Valuation'!F28,'Reverse Engineering Valuation'!H28,'Reverse Engineering Valuation'!E28)</f>
        <v>36</v>
      </c>
      <c r="C33" s="91"/>
      <c r="D33" s="50" t="str">
        <f>IF(OR(NOT(C29),(COLUMN()-3)-(B31+1)&lt;0,(B31+1+B32) - (COLUMN()-2) &lt;0),"",C29*(1-B30)/(B32+1)*B29)</f>
        <v/>
      </c>
      <c r="E33" s="50" t="str">
        <f>IF(OR(NOT(C29),(COLUMN()-3)-(B31+1)&lt;0,(B31+1+B32) - (COLUMN()-2) &lt;0),"",C29*(1-B30)/(B32+1)*B29)</f>
        <v/>
      </c>
      <c r="F33" s="50" t="str">
        <f>IF(OR(NOT(C29),(COLUMN()-3)-(B31+1)&lt;0,(B31+1+B32) - (COLUMN()-2) &lt;0),"",C29*(1-B30)/(B32+1)*B29)</f>
        <v/>
      </c>
      <c r="G33" s="50" t="str">
        <f>IF(OR(NOT(C29),(COLUMN()-3)-(B31+1)&lt;0,(B31+1+B32) - (COLUMN()-2) &lt;0),"",C29*(1-B30)/(B32+1)*B29)</f>
        <v/>
      </c>
      <c r="H33" s="50" t="str">
        <f>IF(OR(NOT(C29),(COLUMN()-3)-(B31+1)&lt;0,(B31+1+B32) - (COLUMN()-2) &lt;0),"",C29*(1-B30)/(B32+1)*B29)</f>
        <v/>
      </c>
      <c r="I33" s="50" t="str">
        <f>IF(OR(NOT(C29),(COLUMN()-3)-(B31+1)&lt;0,(B31+1+B32) - (COLUMN()-2) &lt;0),"",C29*(1-B30)/(B32+1)*B29)</f>
        <v/>
      </c>
      <c r="J33" s="50" t="str">
        <f>IF(OR(NOT(C29),(COLUMN()-3)-(B31+1)&lt;0,(B31+1+B32) - (COLUMN()-2) &lt;0),"",C29*(1-B30)/(B32+1)*B29)</f>
        <v/>
      </c>
      <c r="K33" s="50" t="str">
        <f>IF(OR(NOT(C29),(COLUMN()-3)-(B31+1)&lt;0,(B31+1+B32) - (COLUMN()-2) &lt;0),"",C29*(1-B30)/(B32+1)*B29)</f>
        <v/>
      </c>
      <c r="L33" s="50" t="str">
        <f>IF(OR(NOT(C29),(COLUMN()-3)-(B31+1)&lt;0,(B31+1+B32) - (COLUMN()-2) &lt;0),"",C29*(1-B30)/(B32+1)*B29)</f>
        <v/>
      </c>
      <c r="M33" s="50" t="str">
        <f>IF(OR(NOT(C29),(COLUMN()-3)-(B31+1)&lt;0,(B31+1+B32) - (COLUMN()-2) &lt;0),"",C29*(1-B30)/(B32+1)*B29)</f>
        <v/>
      </c>
      <c r="N33" s="50" t="str">
        <f>IF(OR(NOT(C29),(COLUMN()-3)-(B31+1)&lt;0,(B31+1+B32) - (COLUMN()-2) &lt;0),"",C29*(1-B30)/(B32+1)*B29)</f>
        <v/>
      </c>
      <c r="O33" s="72" t="str">
        <f>IF(OR(NOT(C29),(COLUMN()-3)-(B31+1)&lt;0,(B31+1+B32) - (COLUMN()-2) &lt;0),"",C29*(1-B30)/(B32+1)*B29)</f>
        <v/>
      </c>
      <c r="P33" s="72" t="str">
        <f>IF(OR(NOT(C29),(COLUMN()-3)-(B31+1)&lt;0,(B31+1+B32) - (COLUMN()-2) &lt;0),"",C29*(1-B30)/(B32+1)*B29)</f>
        <v/>
      </c>
      <c r="Q33" s="72" t="str">
        <f>IF(OR(NOT(C29),(COLUMN()-3)-(B31+1)&lt;0,(B31+1+B32) - (COLUMN()-2) &lt;0),"",C29*(1-B30)/(B32+1)*B29)</f>
        <v/>
      </c>
      <c r="R33" s="72" t="str">
        <f>IF(OR(NOT(C29),(COLUMN()-3)-(B31+1)&lt;0,(B31+1+B32) - (COLUMN()-2) &lt;0),"",C29*(1-B30)/(B32+1)*B29)</f>
        <v/>
      </c>
      <c r="S33" s="72" t="str">
        <f>IF(OR(NOT(C29),(COLUMN()-3)-(B31+1)&lt;0,(B31+1+B32) - (COLUMN()-2) &lt;0),"",C29*(1-B30)/(B32+1)*B29)</f>
        <v/>
      </c>
      <c r="T33" s="72" t="str">
        <f>IF(OR(NOT(C29),(COLUMN()-3)-(B31+1)&lt;0,(B31+1+B32) - (COLUMN()-2) &lt;0),"",C29*(1-B30)/(B32+1)*B29)</f>
        <v/>
      </c>
      <c r="U33" s="72" t="str">
        <f>IF(OR(NOT(C29),(COLUMN()-3)-(B31+1)&lt;0,(B31+1+B32) - (COLUMN()-2) &lt;0),"",C29*(1-B30)/(B32+1)*B29)</f>
        <v/>
      </c>
      <c r="V33" s="72" t="str">
        <f>IF(OR(NOT(C29),(COLUMN()-3)-(B31+1)&lt;0,(B31+1+B32) - (COLUMN()-2) &lt;0),"",C29*(1-B30)/(B32+1)*B29)</f>
        <v/>
      </c>
      <c r="W33" s="72" t="str">
        <f>IF(OR(NOT(C29),(COLUMN()-3)-(B31+1)&lt;0,(B31+1+B32) - (COLUMN()-2) &lt;0),"",C29*(1-B30)/(B32+1)*B29)</f>
        <v/>
      </c>
      <c r="X33" s="72" t="str">
        <f>IF(OR(NOT(C29),(COLUMN()-3)-(B31+1)&lt;0,(B31+1+B32) - (COLUMN()-2) &lt;0),"",C29*(1-B30)/(B32+1)*B29)</f>
        <v/>
      </c>
      <c r="Y33" s="72" t="str">
        <f>IF(OR(NOT(C29),(COLUMN()-3)-(B31+1)&lt;0,(B31+1+B32) - (COLUMN()-2) &lt;0),"",C29*(1-B30)/(B32+1)*B29)</f>
        <v/>
      </c>
      <c r="Z33" s="72" t="str">
        <f>IF(OR(NOT(C29),(COLUMN()-3)-(B31+1)&lt;0,(B31+1+B32) - (COLUMN()-2) &lt;0),"",C29*(1-B30)/(B32+1)*B29)</f>
        <v/>
      </c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1"/>
    </row>
    <row r="34" spans="1:37" hidden="1">
      <c r="A34" s="90" t="s">
        <v>84</v>
      </c>
      <c r="B34" s="54">
        <f>B33-SUM(C29:N29)</f>
        <v>36</v>
      </c>
      <c r="C34" s="91"/>
      <c r="D34" s="91"/>
      <c r="E34" s="50" t="str">
        <f>IF(OR(NOT(D29),(COLUMN()-3)-(B31+2)&lt;0,(B31+2 +B32) - (COLUMN()-2) &lt;0),"",D29*(1-B30)/(B32+1)*B29)</f>
        <v/>
      </c>
      <c r="F34" s="50" t="str">
        <f>IF(OR(NOT(D29),(COLUMN()-3)-(B31+2)&lt;0,(B31+2 +B32) - (COLUMN()-2) &lt;0),"",D29*(1-B30)/(B32+1)*B29)</f>
        <v/>
      </c>
      <c r="G34" s="50" t="str">
        <f>IF(OR(NOT(D29),(COLUMN()-3)-(B31+2)&lt;0,(B31+2 +B32) - (COLUMN()-2) &lt;0),"",D29*(1-B30)/(B32+1)*B29)</f>
        <v/>
      </c>
      <c r="H34" s="50" t="str">
        <f>IF(OR(NOT(D29),(COLUMN()-3)-(B31+2)&lt;0,(B31+2 +B32) - (COLUMN()-2) &lt;0),"",D29*(1-B30)/(B32+1)*B29)</f>
        <v/>
      </c>
      <c r="I34" s="50" t="str">
        <f>IF(OR(NOT(D29),(COLUMN()-3)-(B31+2)&lt;0,(B31+2 +B32) - (COLUMN()-2) &lt;0),"",D29*(1-B30)/(B32+1)*B29)</f>
        <v/>
      </c>
      <c r="J34" s="50" t="str">
        <f>IF(OR(NOT(D29),(COLUMN()-3)-(B31+2)&lt;0,(B31+2 +B32) - (COLUMN()-2) &lt;0),"",D29*(1-B30)/(B32+1)*B29)</f>
        <v/>
      </c>
      <c r="K34" s="50" t="str">
        <f>IF(OR(NOT(D29),(COLUMN()-3)-(B31+2)&lt;0,(B31+2 +B32) - (COLUMN()-2) &lt;0),"",D29*(1-B30)/(B32+1)*B29)</f>
        <v/>
      </c>
      <c r="L34" s="50" t="str">
        <f>IF(OR(NOT(D29),(COLUMN()-3)-(B31+2)&lt;0,(B31+2 +B32) - (COLUMN()-2) &lt;0),"",D29*(1-B30)/(B32+1)*B29)</f>
        <v/>
      </c>
      <c r="M34" s="50" t="str">
        <f>IF(OR(NOT(D29),(COLUMN()-3)-(B31+2)&lt;0,(B31+2 +B32) - (COLUMN()-2) &lt;0),"",D29*(1-B30)/(B32+1)*B29)</f>
        <v/>
      </c>
      <c r="N34" s="50" t="str">
        <f>IF(OR(NOT(D29),(COLUMN()-3)-(B31+2)&lt;0,(B31+2 +B32) - (COLUMN()-2) &lt;0),"",D29*(1-B30)/(B32+1)*B29)</f>
        <v/>
      </c>
      <c r="O34" s="72" t="str">
        <f>IF(OR(NOT(D29),(COLUMN()-3)-(B31+2)&lt;0,(B31+2 +B32) - (COLUMN()-2) &lt;0),"",D29*(1-B30)/(B32+1)*B29)</f>
        <v/>
      </c>
      <c r="P34" s="72" t="str">
        <f>IF(OR(NOT(D29),(COLUMN()-3)-(B31+2)&lt;0,(B31+2 +B32) - (COLUMN()-2) &lt;0),"",D29*(1-B30)/(B32+1)*B29)</f>
        <v/>
      </c>
      <c r="Q34" s="72" t="str">
        <f>IF(OR(NOT(D29),(COLUMN()-3)-(B31+2)&lt;0,(B31+2 +B32) - (COLUMN()-2) &lt;0),"",D29*(1-B30)/(B32+1)*B29)</f>
        <v/>
      </c>
      <c r="R34" s="72" t="str">
        <f>IF(OR(NOT(D29),(COLUMN()-3)-(B31+2)&lt;0,(B31+2 +B32) - (COLUMN()-2) &lt;0),"",D29*(1-B30)/(B32+1)*B29)</f>
        <v/>
      </c>
      <c r="S34" s="72" t="str">
        <f>IF(OR(NOT(D29),(COLUMN()-3)-(B31+2)&lt;0,(B31+2 +B32) - (COLUMN()-2) &lt;0),"",D29*(1-B30)/(B32+1)*B29)</f>
        <v/>
      </c>
      <c r="T34" s="72" t="str">
        <f>IF(OR(NOT(D29),(COLUMN()-3)-(B31+2)&lt;0,(B31+2 +B32) - (COLUMN()-2) &lt;0),"",D29*(1-B30)/(B32+1)*B29)</f>
        <v/>
      </c>
      <c r="U34" s="72" t="str">
        <f>IF(OR(NOT(D29),(COLUMN()-3)-(B31+2)&lt;0,(B31+2 +B32) - (COLUMN()-2) &lt;0),"",D29*(1-B30)/(B32+1)*B29)</f>
        <v/>
      </c>
      <c r="V34" s="72" t="str">
        <f>IF(OR(NOT(D29),(COLUMN()-3)-(B31+2)&lt;0,(B31+2 +B32) - (COLUMN()-2) &lt;0),"",D29*(1-B30)/(B32+1)*B29)</f>
        <v/>
      </c>
      <c r="W34" s="72" t="str">
        <f>IF(OR(NOT(D29),(COLUMN()-3)-(B31+2)&lt;0,(B31+2 +B32) - (COLUMN()-2) &lt;0),"",D29*(1-B30)/(B32+1)*B29)</f>
        <v/>
      </c>
      <c r="X34" s="72" t="str">
        <f>IF(OR(NOT(D29),(COLUMN()-3)-(B31+2)&lt;0,(B31+2 +B32) - (COLUMN()-2) &lt;0),"",D29*(1-B30)/(B32+1)*B29)</f>
        <v/>
      </c>
      <c r="Y34" s="72" t="str">
        <f>IF(OR(NOT(D29),(COLUMN()-3)-(B31+2)&lt;0,(B31+2 +B32) - (COLUMN()-2) &lt;0),"",D29*(1-B30)/(B32+1)*B29)</f>
        <v/>
      </c>
      <c r="Z34" s="72" t="str">
        <f>IF(OR(NOT(D29),(COLUMN()-3)-(B31+2)&lt;0,(B31+2 +B32) - (COLUMN()-2) &lt;0),"",D29*(1-B30)/(B32+1)*B29)</f>
        <v/>
      </c>
      <c r="AA34" s="91"/>
      <c r="AB34" s="91"/>
      <c r="AC34" s="91"/>
      <c r="AD34" s="91"/>
      <c r="AE34" s="91"/>
      <c r="AF34" s="91"/>
      <c r="AG34" s="91"/>
      <c r="AH34" s="91"/>
      <c r="AI34" s="91"/>
      <c r="AJ34" s="91"/>
    </row>
    <row r="35" spans="1:37" hidden="1">
      <c r="A35" s="91"/>
      <c r="B35" s="91"/>
      <c r="C35" s="91"/>
      <c r="D35" s="91"/>
      <c r="E35" s="91"/>
      <c r="F35" s="50" t="str">
        <f>IF(OR(NOT(E29),(COLUMN()-3)-(B31+3)&lt;0,(B31+3+B32) - (COLUMN()-2) &lt;0),"",E29*(1-B30)/(B32+1)*B29)</f>
        <v/>
      </c>
      <c r="G35" s="50" t="str">
        <f>IF(OR(NOT(E29),(COLUMN()-3)-(B31+3)&lt;0,(B31+3+B32) - (COLUMN()-2) &lt;0),"",E29*(1-B30)/(B32+1)*B29)</f>
        <v/>
      </c>
      <c r="H35" s="50" t="str">
        <f>IF(OR(NOT(E29),(COLUMN()-3)-(B31+3)&lt;0,(B31+3+B32) - (COLUMN()-2) &lt;0),"",E29*(1-B30)/(B32+1)*B29)</f>
        <v/>
      </c>
      <c r="I35" s="50" t="str">
        <f>IF(OR(NOT(E29),(COLUMN()-3)-(B31+3)&lt;0,(B31+3+B32) - (COLUMN()-2) &lt;0),"",E29*(1-B30)/(B32+1)*B29)</f>
        <v/>
      </c>
      <c r="J35" s="50" t="str">
        <f>IF(OR(NOT(E29),(COLUMN()-3)-(B31+3)&lt;0,(B31+3+B32) - (COLUMN()-2) &lt;0),"",E29*(1-B30)/(B32+1)*B29)</f>
        <v/>
      </c>
      <c r="K35" s="50" t="str">
        <f>IF(OR(NOT(E29),(COLUMN()-3)-(B31+3)&lt;0,(B31+3+B32) - (COLUMN()-2) &lt;0),"",E29*(1-B30)/(B32+1)*B29)</f>
        <v/>
      </c>
      <c r="L35" s="50" t="str">
        <f>IF(OR(NOT(E29),(COLUMN()-3)-(B31+3)&lt;0,(B31+3+B32) - (COLUMN()-2) &lt;0),"",E29*(1-B30)/(B32+1)*B29)</f>
        <v/>
      </c>
      <c r="M35" s="50" t="str">
        <f>IF(OR(NOT(E29),(COLUMN()-3)-(B31+3)&lt;0,(B31+3+B32) - (COLUMN()-2) &lt;0),"",E29*(1-B30)/(B32+1)*B29)</f>
        <v/>
      </c>
      <c r="N35" s="50" t="str">
        <f>IF(OR(NOT(E29),(COLUMN()-3)-(B31+3)&lt;0,(B31+3+B32) - (COLUMN()-2) &lt;0),"",E29*(1-B30)/(B32+1)*B29)</f>
        <v/>
      </c>
      <c r="O35" s="72" t="str">
        <f>IF(OR(NOT(E29),(COLUMN()-3)-(B31+3)&lt;0,(B31+3+B32) - (COLUMN()-2) &lt;0),"",E29*(1-B30)/(B32+1)*B29)</f>
        <v/>
      </c>
      <c r="P35" s="72" t="str">
        <f>IF(OR(NOT(E29),(COLUMN()-3)-(B31+3)&lt;0,(B31+3+B32) - (COLUMN()-2) &lt;0),"",E29*(1-B30)/(B32+1)*B29)</f>
        <v/>
      </c>
      <c r="Q35" s="72" t="str">
        <f>IF(OR(NOT(E29),(COLUMN()-3)-(B31+3)&lt;0,(B31+3+B32) - (COLUMN()-2) &lt;0),"",E29*(1-B30)/(B32+1)*B29)</f>
        <v/>
      </c>
      <c r="R35" s="72" t="str">
        <f>IF(OR(NOT(E29),(COLUMN()-3)-(B31+3)&lt;0,(B31+3+B32) - (COLUMN()-2) &lt;0),"",E29*(1-B30)/(B32+1)*B29)</f>
        <v/>
      </c>
      <c r="S35" s="72" t="str">
        <f>IF(OR(NOT(E29),(COLUMN()-3)-(B31+3)&lt;0,(B31+3+B32) - (COLUMN()-2) &lt;0),"",E29*(1-B30)/(B32+1)*B29)</f>
        <v/>
      </c>
      <c r="T35" s="72" t="str">
        <f>IF(OR(NOT(E29),(COLUMN()-3)-(B31+3)&lt;0,(B31+3+B32) - (COLUMN()-2) &lt;0),"",E29*(1-B30)/(B32+1)*B29)</f>
        <v/>
      </c>
      <c r="U35" s="72" t="str">
        <f>IF(OR(NOT(E29),(COLUMN()-3)-(B31+3)&lt;0,(B31+3+B32) - (COLUMN()-2) &lt;0),"",E29*(1-B30)/(B32+1)*B29)</f>
        <v/>
      </c>
      <c r="V35" s="72" t="str">
        <f>IF(OR(NOT(E29),(COLUMN()-3)-(B31+3)&lt;0,(B31+3+B32) - (COLUMN()-2) &lt;0),"",E29*(1-B30)/(B32+1)*B29)</f>
        <v/>
      </c>
      <c r="W35" s="72" t="str">
        <f>IF(OR(NOT(E29),(COLUMN()-3)-(B31+3)&lt;0,(B31+3+B32) - (COLUMN()-2) &lt;0),"",E29*(1-B30)/(B32+1)*B29)</f>
        <v/>
      </c>
      <c r="X35" s="72" t="str">
        <f>IF(OR(NOT(E29),(COLUMN()-3)-(B31+3)&lt;0,(B31+3+B32) - (COLUMN()-2) &lt;0),"",E29*(1-B30)/(B32+1)*B29)</f>
        <v/>
      </c>
      <c r="Y35" s="72" t="str">
        <f>IF(OR(NOT(E29),(COLUMN()-3)-(B31+3)&lt;0,(B31+3+B32) - (COLUMN()-2) &lt;0),"",E29*(1-B30)/(B32+1)*B29)</f>
        <v/>
      </c>
      <c r="Z35" s="72" t="str">
        <f>IF(OR(NOT(E29),(COLUMN()-3)-(B31+3)&lt;0,(B31+3+B32) - (COLUMN()-2) &lt;0),"",E29*(1-B30)/(B32+1)*B29)</f>
        <v/>
      </c>
      <c r="AA35" s="74" t="str">
        <f>IF(OR(NOT(E29),(COLUMN()-3)-(B31+3)&lt;0,(B31+3+B32) - (COLUMN()-2) &lt;0),"",E29*(1-B30)/(B32+1)*B29)</f>
        <v/>
      </c>
      <c r="AB35" s="91"/>
      <c r="AC35" s="91"/>
      <c r="AD35" s="91"/>
      <c r="AE35" s="91"/>
      <c r="AF35" s="91"/>
      <c r="AG35" s="91"/>
      <c r="AH35" s="91"/>
      <c r="AI35" s="91"/>
      <c r="AJ35" s="91"/>
    </row>
    <row r="36" spans="1:37" hidden="1">
      <c r="A36" s="91"/>
      <c r="B36" s="91"/>
      <c r="C36" s="91"/>
      <c r="D36" s="91"/>
      <c r="E36" s="91"/>
      <c r="F36" s="91"/>
      <c r="G36" s="50" t="str">
        <f>IF(OR(NOT(F29),(COLUMN()-3)-(B31+4)&lt;0,(B31+4+B32) - (COLUMN()-2) &lt;0),"",F29*(1-B30)/(B32+1)*B29)</f>
        <v/>
      </c>
      <c r="H36" s="50" t="str">
        <f>IF(OR(NOT(F29),(COLUMN()-3)-(B31+4)&lt;0,(B31+4+B32) - (COLUMN()-2) &lt;0),"",F29*(1-B30)/(B32+1)*B29)</f>
        <v/>
      </c>
      <c r="I36" s="50" t="str">
        <f>IF(OR(NOT(F29),(COLUMN()-3)-(B31+4)&lt;0,(B31+4+B32) - (COLUMN()-2) &lt;0),"",F29*(1-B30)/(B32+1)*B29)</f>
        <v/>
      </c>
      <c r="J36" s="50" t="str">
        <f>IF(OR(NOT(F29),(COLUMN()-3)-(B31+4)&lt;0,(B31+4+B32) - (COLUMN()-2) &lt;0),"",F29*(1-B30)/(B32+1)*B29)</f>
        <v/>
      </c>
      <c r="K36" s="50" t="str">
        <f>IF(OR(NOT(F29),(COLUMN()-3)-(B31+4)&lt;0,(B31+4+B32) - (COLUMN()-2) &lt;0),"",F29*(1-B30)/(B32+1)*B29)</f>
        <v/>
      </c>
      <c r="L36" s="50" t="str">
        <f>IF(OR(NOT(F29),(COLUMN()-3)-(B31+4)&lt;0,(B31+4+B32) - (COLUMN()-2) &lt;0),"",F29*(1-B30)/(B32+1)*B29)</f>
        <v/>
      </c>
      <c r="M36" s="50" t="str">
        <f>IF(OR(NOT(F29),(COLUMN()-3)-(B31+4)&lt;0,(B31+4+B32) - (COLUMN()-2) &lt;0),"",F29*(1-B30)/(B32+1)*B29)</f>
        <v/>
      </c>
      <c r="N36" s="50" t="str">
        <f>IF(OR(NOT(F29),(COLUMN()-3)-(B31+4)&lt;0,(B31+4+B32) - (COLUMN()-2) &lt;0),"",F29*(1-B30)/(B32+1)*B29)</f>
        <v/>
      </c>
      <c r="O36" s="72" t="str">
        <f>IF(OR(NOT(F29),(COLUMN()-3)-(B31+4)&lt;0,(B31+4+B32) - (COLUMN()-2) &lt;0),"",F29*(1-B30)/(B32+1)*B29)</f>
        <v/>
      </c>
      <c r="P36" s="72" t="str">
        <f>IF(OR(NOT(F29),(COLUMN()-3)-(B31+4)&lt;0,(B31+4+B32) - (COLUMN()-2) &lt;0),"",F29*(1-B30)/(B32+1)*B29)</f>
        <v/>
      </c>
      <c r="Q36" s="72" t="str">
        <f>IF(OR(NOT(F29),(COLUMN()-3)-(B31+4)&lt;0,(B31+4+B32) - (COLUMN()-2) &lt;0),"",F29*(1-B30)/(B32+1)*B29)</f>
        <v/>
      </c>
      <c r="R36" s="72" t="str">
        <f>IF(OR(NOT(F29),(COLUMN()-3)-(B31+4)&lt;0,(B31+4+B32) - (COLUMN()-2) &lt;0),"",F29*(1-B30)/(B32+1)*B29)</f>
        <v/>
      </c>
      <c r="S36" s="72" t="str">
        <f>IF(OR(NOT(F29),(COLUMN()-3)-(B31+4)&lt;0,(B31+4+B32) - (COLUMN()-2) &lt;0),"",F29*(1-B30)/(B32+1)*B29)</f>
        <v/>
      </c>
      <c r="T36" s="72" t="str">
        <f>IF(OR(NOT(F29),(COLUMN()-3)-(B31+4)&lt;0,(B31+4+B32) - (COLUMN()-2) &lt;0),"",F29*(1-B30)/(B32+1)*B29)</f>
        <v/>
      </c>
      <c r="U36" s="72" t="str">
        <f>IF(OR(NOT(F29),(COLUMN()-3)-(B31+4)&lt;0,(B31+4+B32) - (COLUMN()-2) &lt;0),"",F29*(1-B30)/(B32+1)*B29)</f>
        <v/>
      </c>
      <c r="V36" s="72" t="str">
        <f>IF(OR(NOT(F29),(COLUMN()-3)-(B31+4)&lt;0,(B31+4+B32) - (COLUMN()-2) &lt;0),"",F29*(1-B30)/(B32+1)*B29)</f>
        <v/>
      </c>
      <c r="W36" s="72" t="str">
        <f>IF(OR(NOT(F29),(COLUMN()-3)-(B31+4)&lt;0,(B31+4+B32) - (COLUMN()-2) &lt;0),"",F29*(1-B30)/(B32+1)*B29)</f>
        <v/>
      </c>
      <c r="X36" s="72" t="str">
        <f>IF(OR(NOT(F29),(COLUMN()-3)-(B31+4)&lt;0,(B31+4+B32) - (COLUMN()-2) &lt;0),"",F29*(1-B30)/(B32+1)*B29)</f>
        <v/>
      </c>
      <c r="Y36" s="72" t="str">
        <f>IF(OR(NOT(F29),(COLUMN()-3)-(B31+4)&lt;0,(B31+4+B32) - (COLUMN()-2) &lt;0),"",F29*(1-B30)/(B32+1)*B29)</f>
        <v/>
      </c>
      <c r="Z36" s="72" t="str">
        <f>IF(OR(NOT(F29),(COLUMN()-3)-(B31+4)&lt;0,(B31+4+B32) - (COLUMN()-2) &lt;0),"",F29*(1-B30)/(B32+1)*B29)</f>
        <v/>
      </c>
      <c r="AA36" s="74" t="str">
        <f>IF(OR(NOT(F29),(COLUMN()-3)-(B31+4)&lt;0,(B31+4+B32) - (COLUMN()-2) &lt;0),"",F29*(1-B30)/(B32+1)*B29)</f>
        <v/>
      </c>
      <c r="AB36" s="74" t="str">
        <f>IF(OR(NOT(F29),(COLUMN()-3)-(B31+4)&lt;0,(B31+4+B32) - (COLUMN()-2) &lt;0),"",F29*(1-B30)/(B32+1)*B29)</f>
        <v/>
      </c>
      <c r="AC36" s="91"/>
      <c r="AD36" s="91"/>
      <c r="AE36" s="91"/>
      <c r="AF36" s="91"/>
      <c r="AG36" s="91"/>
      <c r="AH36" s="91"/>
      <c r="AI36" s="91"/>
      <c r="AJ36" s="91"/>
    </row>
    <row r="37" spans="1:37" hidden="1">
      <c r="A37" s="91"/>
      <c r="B37" s="91"/>
      <c r="C37" s="91"/>
      <c r="D37" s="91"/>
      <c r="E37" s="91"/>
      <c r="F37" s="91"/>
      <c r="G37" s="91"/>
      <c r="H37" s="50" t="str">
        <f>IF(OR(NOT(G29),(COLUMN()-3)-(B31+5)&lt;0,(B31+5+B32) - (COLUMN()-2) &lt;0),"",G29*(1-B30)/(B32+1)*B29)</f>
        <v/>
      </c>
      <c r="I37" s="50" t="str">
        <f>IF(OR(NOT(G29),(COLUMN()-3)-(B31+5)&lt;0,(B31+5+B32) - (COLUMN()-2) &lt;0),"",G29*(1-B30)/(B32+1)*B29)</f>
        <v/>
      </c>
      <c r="J37" s="50" t="str">
        <f>IF(OR(NOT(G29),(COLUMN()-3)-(B31+5)&lt;0,(B31+5+B32) - (COLUMN()-2) &lt;0),"",G29*(1-B30)/(B32+1)*B29)</f>
        <v/>
      </c>
      <c r="K37" s="50" t="str">
        <f>IF(OR(NOT(G29),(COLUMN()-3)-(B31+5)&lt;0,(B31+5+B32) - (COLUMN()-2) &lt;0),"",G29*(1-B30)/(B32+1)*B29)</f>
        <v/>
      </c>
      <c r="L37" s="50" t="str">
        <f>IF(OR(NOT(G29),(COLUMN()-3)-(B31+5)&lt;0,(B31+5+B32) - (COLUMN()-2) &lt;0),"",G29*(1-B30)/(B32+1)*B29)</f>
        <v/>
      </c>
      <c r="M37" s="50" t="str">
        <f>IF(OR(NOT(G29),(COLUMN()-3)-(B31+5)&lt;0,(B31+5+B32) - (COLUMN()-2) &lt;0),"",G29*(1-B30)/(B32+1)*B29)</f>
        <v/>
      </c>
      <c r="N37" s="50" t="str">
        <f>IF(OR(NOT(G29),(COLUMN()-3)-(B31+5)&lt;0,(B31+5+B32) - (COLUMN()-2) &lt;0),"",G29*(1-B30)/(B32+1)*B29)</f>
        <v/>
      </c>
      <c r="O37" s="72" t="str">
        <f>IF(OR(NOT(G29),(COLUMN()-3)-(B31+5)&lt;0,(B31+5+B32) - (COLUMN()-2) &lt;0),"",G29*(1-B30)/(B32+1)*B29)</f>
        <v/>
      </c>
      <c r="P37" s="72" t="str">
        <f>IF(OR(NOT(G29),(COLUMN()-3)-(B31+5)&lt;0,(B31+5+B32) - (COLUMN()-2) &lt;0),"",G29*(1-B30)/(B32+1)*B29)</f>
        <v/>
      </c>
      <c r="Q37" s="72" t="str">
        <f>IF(OR(NOT(G29),(COLUMN()-3)-(B31+5)&lt;0,(B31+5+B32) - (COLUMN()-2) &lt;0),"",G29*(1-B30)/(B32+1)*B29)</f>
        <v/>
      </c>
      <c r="R37" s="72" t="str">
        <f>IF(OR(NOT(G29),(COLUMN()-3)-(B31+5)&lt;0,(B31+5+B32) - (COLUMN()-2) &lt;0),"",G29*(1-B30)/(B32+1)*B29)</f>
        <v/>
      </c>
      <c r="S37" s="72" t="str">
        <f>IF(OR(NOT(G29),(COLUMN()-3)-(B31+5)&lt;0,(B31+5+B32) - (COLUMN()-2) &lt;0),"",G29*(1-B30)/(B32+1)*B29)</f>
        <v/>
      </c>
      <c r="T37" s="72" t="str">
        <f>IF(OR(NOT(G29),(COLUMN()-3)-(B31+5)&lt;0,(B31+5+B32) - (COLUMN()-2) &lt;0),"",G29*(1-B30)/(B32+1)*B29)</f>
        <v/>
      </c>
      <c r="U37" s="72" t="str">
        <f>IF(OR(NOT(G29),(COLUMN()-3)-(B31+5)&lt;0,(B31+5+B32) - (COLUMN()-2) &lt;0),"",G29*(1-B30)/(B32+1)*B29)</f>
        <v/>
      </c>
      <c r="V37" s="72" t="str">
        <f>IF(OR(NOT(G29),(COLUMN()-3)-(B31+5)&lt;0,(B31+5+B32) - (COLUMN()-2) &lt;0),"",G29*(1-B30)/(B32+1)*B29)</f>
        <v/>
      </c>
      <c r="W37" s="72" t="str">
        <f>IF(OR(NOT(G29),(COLUMN()-3)-(B31+5)&lt;0,(B31+5+B32) - (COLUMN()-2) &lt;0),"",G29*(1-B30)/(B32+1)*B29)</f>
        <v/>
      </c>
      <c r="X37" s="72" t="str">
        <f>IF(OR(NOT(G29),(COLUMN()-3)-(B31+5)&lt;0,(B31+5+B32) - (COLUMN()-2) &lt;0),"",G29*(1-B30)/(B32+1)*B29)</f>
        <v/>
      </c>
      <c r="Y37" s="72" t="str">
        <f>IF(OR(NOT(G29),(COLUMN()-3)-(B31+5)&lt;0,(B31+5+B32) - (COLUMN()-2) &lt;0),"",G29*(1-B30)/(B32+1)*B29)</f>
        <v/>
      </c>
      <c r="Z37" s="72" t="str">
        <f>IF(OR(NOT(G29),(COLUMN()-3)-(B31+5)&lt;0,(B31+5+B32) - (COLUMN()-2) &lt;0),"",G29*(1-B30)/(B32+1)*B29)</f>
        <v/>
      </c>
      <c r="AA37" s="74" t="str">
        <f>IF(OR(NOT(G29),(COLUMN()-3)-(B31+5)&lt;0,(B31+5+B32) - (COLUMN()-2) &lt;0),"",G29*(1-B30)/(B32+1)*B29)</f>
        <v/>
      </c>
      <c r="AB37" s="74" t="str">
        <f>IF(OR(NOT(G29),(COLUMN()-3)-(B31+5)&lt;0,(B31+5+B32) - (COLUMN()-2) &lt;0),"",G29*(1-B30)/(B32+1)*B29)</f>
        <v/>
      </c>
      <c r="AC37" s="74" t="str">
        <f>IF(OR(NOT(G29),(COLUMN()-3)-(B31+5)&lt;0,(B31+5+B32) - (COLUMN()-2) &lt;0),"",G29*(1-B30)/(B32+1)*B29)</f>
        <v/>
      </c>
      <c r="AD37" s="91"/>
      <c r="AE37" s="91"/>
      <c r="AF37" s="91"/>
      <c r="AG37" s="91"/>
      <c r="AH37" s="91"/>
      <c r="AI37" s="91"/>
      <c r="AJ37" s="91"/>
    </row>
    <row r="38" spans="1:37" hidden="1">
      <c r="A38" s="91"/>
      <c r="B38" s="91"/>
      <c r="C38" s="91"/>
      <c r="D38" s="91"/>
      <c r="E38" s="91"/>
      <c r="F38" s="91"/>
      <c r="G38" s="91"/>
      <c r="H38" s="91"/>
      <c r="I38" s="50" t="str">
        <f>IF(OR(NOT(H29),(COLUMN()-3)-(B31+6)&lt;0,(B31+6+B32) - (COLUMN()-2) &lt;0),"",H29*(1-B30)/(B32+1)*B29)</f>
        <v/>
      </c>
      <c r="J38" s="50" t="str">
        <f>IF(OR(NOT(H29),(COLUMN()-3)-(B31+6)&lt;0,(B31+6+B32) - (COLUMN()-2) &lt;0),"",H29*(1-B30)/(B32+1)*B29)</f>
        <v/>
      </c>
      <c r="K38" s="50" t="str">
        <f>IF(OR(NOT(H29),(COLUMN()-3)-(B31+6)&lt;0,(B31+6+B32) - (COLUMN()-2) &lt;0),"",H29*(1-B30)/(B32+1)*B29)</f>
        <v/>
      </c>
      <c r="L38" s="50" t="str">
        <f>IF(OR(NOT(H29),(COLUMN()-3)-(B31+6)&lt;0,(B31+6+B32) - (COLUMN()-2) &lt;0),"",H29*(1-B30)/(B32+1)*B29)</f>
        <v/>
      </c>
      <c r="M38" s="50" t="str">
        <f>IF(OR(NOT(H29),(COLUMN()-3)-(B31+6)&lt;0,(B31+6+B32) - (COLUMN()-2) &lt;0),"",H29*(1-B30)/(B32+1)*B29)</f>
        <v/>
      </c>
      <c r="N38" s="50" t="str">
        <f>IF(OR(NOT(H29),(COLUMN()-3)-(B31+6)&lt;0,(B31+6+B32) - (COLUMN()-2) &lt;0),"",H29*(1-B30)/(B32+1)*B29)</f>
        <v/>
      </c>
      <c r="O38" s="72" t="str">
        <f>IF(OR(NOT(H29),(COLUMN()-3)-(B31+6)&lt;0,(B31+6+B32) - (COLUMN()-2) &lt;0),"",H29*(1-B30)/(B32+1)*B29)</f>
        <v/>
      </c>
      <c r="P38" s="72" t="str">
        <f>IF(OR(NOT(H29),(COLUMN()-3)-(B31+6)&lt;0,(B31+6+B32) - (COLUMN()-2) &lt;0),"",H29*(1-B30)/(B32+1)*B29)</f>
        <v/>
      </c>
      <c r="Q38" s="72" t="str">
        <f>IF(OR(NOT(H29),(COLUMN()-3)-(B31+6)&lt;0,(B31+6+B32) - (COLUMN()-2) &lt;0),"",H29*(1-B30)/(B32+1)*B29)</f>
        <v/>
      </c>
      <c r="R38" s="72" t="str">
        <f>IF(OR(NOT(H29),(COLUMN()-3)-(B31+6)&lt;0,(B31+6+B32) - (COLUMN()-2) &lt;0),"",H29*(1-B30)/(B32+1)*B29)</f>
        <v/>
      </c>
      <c r="S38" s="72" t="str">
        <f>IF(OR(NOT(H29),(COLUMN()-3)-(B31+6)&lt;0,(B31+6+B32) - (COLUMN()-2) &lt;0),"",H29*(1-B30)/(B32+1)*B29)</f>
        <v/>
      </c>
      <c r="T38" s="72" t="str">
        <f>IF(OR(NOT(H29),(COLUMN()-3)-(B31+6)&lt;0,(B31+6+B32) - (COLUMN()-2) &lt;0),"",H29*(1-B30)/(B32+1)*B29)</f>
        <v/>
      </c>
      <c r="U38" s="72" t="str">
        <f>IF(OR(NOT(H29),(COLUMN()-3)-(B31+6)&lt;0,(B31+6+B32) - (COLUMN()-2) &lt;0),"",H29*(1-B30)/(B32+1)*B29)</f>
        <v/>
      </c>
      <c r="V38" s="72" t="str">
        <f>IF(OR(NOT(H29),(COLUMN()-3)-(B31+6)&lt;0,(B31+6+B32) - (COLUMN()-2) &lt;0),"",H29*(1-B30)/(B32+1)*B29)</f>
        <v/>
      </c>
      <c r="W38" s="72" t="str">
        <f>IF(OR(NOT(H29),(COLUMN()-3)-(B31+6)&lt;0,(B31+6+B32) - (COLUMN()-2) &lt;0),"",H29*(1-B30)/(B32+1)*B29)</f>
        <v/>
      </c>
      <c r="X38" s="72" t="str">
        <f>IF(OR(NOT(H29),(COLUMN()-3)-(B31+6)&lt;0,(B31+6+B32) - (COLUMN()-2) &lt;0),"",H29*(1-B30)/(B32+1)*B29)</f>
        <v/>
      </c>
      <c r="Y38" s="72" t="str">
        <f>IF(OR(NOT(H29),(COLUMN()-3)-(B31+6)&lt;0,(B31+6+B32) - (COLUMN()-2) &lt;0),"",H29*(1-B30)/(B32+1)*B29)</f>
        <v/>
      </c>
      <c r="Z38" s="72" t="str">
        <f>IF(OR(NOT(H29),(COLUMN()-3)-(B31+6)&lt;0,(B31+6+B32) - (COLUMN()-2) &lt;0),"",H29*(1-B30)/(B32+1)*B29)</f>
        <v/>
      </c>
      <c r="AA38" s="74" t="str">
        <f>IF(OR(NOT(H29),(COLUMN()-3)-(B31+6)&lt;0,(B31+6+B32) - (COLUMN()-2) &lt;0),"",H29*(1-B30)/(B32+1)*B29)</f>
        <v/>
      </c>
      <c r="AB38" s="74" t="str">
        <f>IF(OR(NOT(H29),(COLUMN()-3)-(B31+6)&lt;0,(B31+6+B32) - (COLUMN()-2) &lt;0),"",H29*(1-B30)/(B32+1)*B29)</f>
        <v/>
      </c>
      <c r="AC38" s="74" t="str">
        <f>IF(OR(NOT(H29),(COLUMN()-3)-(B31+6)&lt;0,(B31+6+B32) - (COLUMN()-2) &lt;0),"",H29*(1-B30)/(B32+1)*B29)</f>
        <v/>
      </c>
      <c r="AD38" s="74" t="str">
        <f>IF(OR(NOT(H29),(COLUMN()-3)-(B31+6)&lt;0,(B31+6+B32) - (COLUMN()-2) &lt;0),"",H29*(1-B30)/(B32+1)*B29)</f>
        <v/>
      </c>
      <c r="AE38" s="91"/>
      <c r="AF38" s="91"/>
      <c r="AG38" s="91"/>
      <c r="AH38" s="91"/>
      <c r="AI38" s="91"/>
      <c r="AJ38" s="91"/>
    </row>
    <row r="39" spans="1:37" hidden="1">
      <c r="A39" s="91"/>
      <c r="B39" s="91"/>
      <c r="C39" s="91"/>
      <c r="D39" s="91"/>
      <c r="E39" s="91"/>
      <c r="F39" s="91"/>
      <c r="G39" s="91"/>
      <c r="H39" s="91"/>
      <c r="I39" s="91"/>
      <c r="J39" s="50" t="str">
        <f>IF(OR(NOT(I29),(COLUMN()-3)-(B31+7)&lt;0,(B31+7+B32) - (COLUMN()-2) &lt;0),"",I29*(1-B30)/(B32+1)*B29)</f>
        <v/>
      </c>
      <c r="K39" s="50" t="str">
        <f>IF(OR(NOT(I29),(COLUMN()-3)-(B31+7)&lt;0,(B31+7+B32) - (COLUMN()-2) &lt;0),"",I29*(1-B30)/(B32+1)*B29)</f>
        <v/>
      </c>
      <c r="L39" s="50" t="str">
        <f>IF(OR(NOT(I29),(COLUMN()-3)-(B31+7)&lt;0,(B31+7+B32) - (COLUMN()-2) &lt;0),"",I29*(1-B30)/(B32+1)*B29)</f>
        <v/>
      </c>
      <c r="M39" s="50" t="str">
        <f>IF(OR(NOT(I29),(COLUMN()-3)-(B31+7)&lt;0,(B31+7+B32) - (COLUMN()-2) &lt;0),"",I29*(1-B30)/(B32+1)*B29)</f>
        <v/>
      </c>
      <c r="N39" s="50" t="str">
        <f>IF(OR(NOT(I29),(COLUMN()-3)-(B31+7)&lt;0,(B31+7+B32) - (COLUMN()-2) &lt;0),"",I29*(1-B30)/(B32+1)*B29)</f>
        <v/>
      </c>
      <c r="O39" s="72" t="str">
        <f>IF(OR(NOT(I29),(COLUMN()-3)-(B31+7)&lt;0,(B31+7+B32) - (COLUMN()-2) &lt;0),"",I29*(1-B30)/(B32+1)*B29)</f>
        <v/>
      </c>
      <c r="P39" s="72" t="str">
        <f>IF(OR(NOT(I29),(COLUMN()-3)-(B31+7)&lt;0,(B31+7+B32) - (COLUMN()-2) &lt;0),"",I29*(1-B30)/(B32+1)*B29)</f>
        <v/>
      </c>
      <c r="Q39" s="72" t="str">
        <f>IF(OR(NOT(I29),(COLUMN()-3)-(B31+7)&lt;0,(B31+7+B32) - (COLUMN()-2) &lt;0),"",I29*(1-B30)/(B32+1)*B29)</f>
        <v/>
      </c>
      <c r="R39" s="72" t="str">
        <f>IF(OR(NOT(I29),(COLUMN()-3)-(B31+7)&lt;0,(B31+7+B32) - (COLUMN()-2) &lt;0),"",I29*(1-B30)/(B32+1)*B29)</f>
        <v/>
      </c>
      <c r="S39" s="72" t="str">
        <f>IF(OR(NOT(I29),(COLUMN()-3)-(B31+7)&lt;0,(B31+7+B32) - (COLUMN()-2) &lt;0),"",I29*(1-B30)/(B32+1)*B29)</f>
        <v/>
      </c>
      <c r="T39" s="72" t="str">
        <f>IF(OR(NOT(I29),(COLUMN()-3)-(B31+7)&lt;0,(B31+7+B32) - (COLUMN()-2) &lt;0),"",I29*(1-B30)/(B32+1)*B29)</f>
        <v/>
      </c>
      <c r="U39" s="72" t="str">
        <f>IF(OR(NOT(I29),(COLUMN()-3)-(B31+7)&lt;0,(B31+7+B32) - (COLUMN()-2) &lt;0),"",I29*(1-B30)/(B32+1)*B29)</f>
        <v/>
      </c>
      <c r="V39" s="72" t="str">
        <f>IF(OR(NOT(I29),(COLUMN()-3)-(B31+7)&lt;0,(B31+7+B32) - (COLUMN()-2) &lt;0),"",I29*(1-B30)/(B32+1)*B29)</f>
        <v/>
      </c>
      <c r="W39" s="72" t="str">
        <f>IF(OR(NOT(I29),(COLUMN()-3)-(B31+7)&lt;0,(B31+7+B32) - (COLUMN()-2) &lt;0),"",I29*(1-B30)/(B32+1)*B29)</f>
        <v/>
      </c>
      <c r="X39" s="72" t="str">
        <f>IF(OR(NOT(I29),(COLUMN()-3)-(B31+7)&lt;0,(B31+7+B32) - (COLUMN()-2) &lt;0),"",I29*(1-B30)/(B32+1)*B29)</f>
        <v/>
      </c>
      <c r="Y39" s="72" t="str">
        <f>IF(OR(NOT(I29),(COLUMN()-3)-(B31+7)&lt;0,(B31+7+B32) - (COLUMN()-2) &lt;0),"",I29*(1-B30)/(B32+1)*B29)</f>
        <v/>
      </c>
      <c r="Z39" s="72" t="str">
        <f>IF(OR(NOT(I29),(COLUMN()-3)-(B31+7)&lt;0,(B31+7+B32) - (COLUMN()-2) &lt;0),"",I29*(1-B30)/(B32+1)*B29)</f>
        <v/>
      </c>
      <c r="AA39" s="74" t="str">
        <f>IF(OR(NOT(I29),(COLUMN()-3)-(B31+7)&lt;0,(B31+7+B32) - (COLUMN()-2) &lt;0),"",I29*(1-B30)/(B32+1)*B29)</f>
        <v/>
      </c>
      <c r="AB39" s="74" t="str">
        <f>IF(OR(NOT(I29),(COLUMN()-3)-(B31+7)&lt;0,(B31+7+B32) - (COLUMN()-2) &lt;0),"",I29*(1-B30)/(B32+1)*B29)</f>
        <v/>
      </c>
      <c r="AC39" s="74" t="str">
        <f>IF(OR(NOT(I29),(COLUMN()-3)-(B31+7)&lt;0,(B31+7+B32) - (COLUMN()-2) &lt;0),"",I29*(1-B30)/(B32+1)*B29)</f>
        <v/>
      </c>
      <c r="AD39" s="74" t="str">
        <f>IF(OR(NOT(I29),(COLUMN()-3)-(B31+7)&lt;0,(B31+7+B32) - (COLUMN()-2) &lt;0),"",I29*(1-B30)/(B32+1)*B29)</f>
        <v/>
      </c>
      <c r="AE39" s="74" t="str">
        <f>IF(OR(NOT(I29),(COLUMN()-3)-(B31+7)&lt;0,(B31+7+B32) - (COLUMN()-2) &lt;0),"",I29*(1-B30)/(B32+1)*B29)</f>
        <v/>
      </c>
      <c r="AF39" s="91"/>
      <c r="AG39" s="91"/>
      <c r="AH39" s="91"/>
      <c r="AI39" s="91"/>
      <c r="AJ39" s="91"/>
    </row>
    <row r="40" spans="1:37" hidden="1">
      <c r="A40" s="91"/>
      <c r="B40" s="91"/>
      <c r="C40" s="91"/>
      <c r="D40" s="91"/>
      <c r="E40" s="91"/>
      <c r="F40" s="91"/>
      <c r="G40" s="91"/>
      <c r="H40" s="91"/>
      <c r="I40" s="91"/>
      <c r="J40" s="91"/>
      <c r="K40" s="50" t="str">
        <f>IF(OR(NOT(J29),(COLUMN()-3)-(B31+8)&lt;0,(B31+8+B32) - (COLUMN()-2) &lt;0),"",J29*(1-B30)/(B32+1)*B29)</f>
        <v/>
      </c>
      <c r="L40" s="50" t="str">
        <f>IF(OR(NOT(J29),(COLUMN()-3)-(B31+8)&lt;0,(B31+8+B32) - (COLUMN()-2) &lt;0),"",J29*(1-B30)/(B32+1)*B29)</f>
        <v/>
      </c>
      <c r="M40" s="50" t="str">
        <f>IF(OR(NOT(J29),(COLUMN()-3)-(B31+8)&lt;0,(B31+8+B32) - (COLUMN()-2) &lt;0),"",J29*(1-B30)/(B32+1)*B29)</f>
        <v/>
      </c>
      <c r="N40" s="50" t="str">
        <f>IF(OR(NOT(J29),(COLUMN()-3)-(B31+8)&lt;0,(B31+8+B32) - (COLUMN()-2) &lt;0),"",J29*(1-B30)/(B32+1)*B29)</f>
        <v/>
      </c>
      <c r="O40" s="72" t="str">
        <f>IF(OR(NOT(J29),(COLUMN()-3)-(B31+8)&lt;0,(B31+8+B32) - (COLUMN()-2) &lt;0),"",J29*(1-B30)/(B32+1)*B29)</f>
        <v/>
      </c>
      <c r="P40" s="72" t="str">
        <f>IF(OR(NOT(J29),(COLUMN()-3)-(B31+8)&lt;0,(B31+8+B32) - (COLUMN()-2) &lt;0),"",J29*(1-B30)/(B32+1)*B29)</f>
        <v/>
      </c>
      <c r="Q40" s="72" t="str">
        <f>IF(OR(NOT(J29),(COLUMN()-3)-(B31+8)&lt;0,(B31+8+B32) - (COLUMN()-2) &lt;0),"",J29*(1-B30)/(B32+1)*B29)</f>
        <v/>
      </c>
      <c r="R40" s="72" t="str">
        <f>IF(OR(NOT(J29),(COLUMN()-3)-(B31+8)&lt;0,(B31+8+B32) - (COLUMN()-2) &lt;0),"",J29*(1-B30)/(B32+1)*B29)</f>
        <v/>
      </c>
      <c r="S40" s="72" t="str">
        <f>IF(OR(NOT(J29),(COLUMN()-3)-(B31+8)&lt;0,(B31+8+B32) - (COLUMN()-2) &lt;0),"",J29*(1-B30)/(B32+1)*B29)</f>
        <v/>
      </c>
      <c r="T40" s="72" t="str">
        <f>IF(OR(NOT(J29),(COLUMN()-3)-(B31+8)&lt;0,(B31+8+B32) - (COLUMN()-2) &lt;0),"",J29*(1-B30)/(B32+1)*B29)</f>
        <v/>
      </c>
      <c r="U40" s="72" t="str">
        <f>IF(OR(NOT(J29),(COLUMN()-3)-(B31+8)&lt;0,(B31+8+B32) - (COLUMN()-2) &lt;0),"",J29*(1-B30)/(B32+1)*B29)</f>
        <v/>
      </c>
      <c r="V40" s="72" t="str">
        <f>IF(OR(NOT(J29),(COLUMN()-3)-(B31+8)&lt;0,(B31+8+B32) - (COLUMN()-2) &lt;0),"",J29*(1-B30)/(B32+1)*B29)</f>
        <v/>
      </c>
      <c r="W40" s="72" t="str">
        <f>IF(OR(NOT(J29),(COLUMN()-3)-(B31+8)&lt;0,(B31+8+B32) - (COLUMN()-2) &lt;0),"",J29*(1-B30)/(B32+1)*B29)</f>
        <v/>
      </c>
      <c r="X40" s="72" t="str">
        <f>IF(OR(NOT(J29),(COLUMN()-3)-(B31+8)&lt;0,(B31+8+B32) - (COLUMN()-2) &lt;0),"",J29*(1-B30)/(B32+1)*B29)</f>
        <v/>
      </c>
      <c r="Y40" s="72" t="str">
        <f>IF(OR(NOT(J29),(COLUMN()-3)-(B31+8)&lt;0,(B31+8+B32) - (COLUMN()-2) &lt;0),"",J29*(1-B30)/(B32+1)*B29)</f>
        <v/>
      </c>
      <c r="Z40" s="72" t="str">
        <f>IF(OR(NOT(J29),(COLUMN()-3)-(B31+8)&lt;0,(B31+8+B32) - (COLUMN()-2) &lt;0),"",J29*(1-B30)/(B32+1)*B29)</f>
        <v/>
      </c>
      <c r="AA40" s="74" t="str">
        <f>IF(OR(NOT(J29),(COLUMN()-3)-(B31+8)&lt;0,(B31+8+B32) - (COLUMN()-2) &lt;0),"",J29*(1-B30)/(B32+1)*B29)</f>
        <v/>
      </c>
      <c r="AB40" s="74" t="str">
        <f>IF(OR(NOT(J29),(COLUMN()-3)-(B31+8)&lt;0,(B31+8+B32) - (COLUMN()-2) &lt;0),"",J29*(1-B30)/(B32+1)*B29)</f>
        <v/>
      </c>
      <c r="AC40" s="74" t="str">
        <f>IF(OR(NOT(J29),(COLUMN()-3)-(B31+8)&lt;0,(B31+8+B32) - (COLUMN()-2) &lt;0),"",J29*(1-B30)/(B32+1)*B29)</f>
        <v/>
      </c>
      <c r="AD40" s="74" t="str">
        <f>IF(OR(NOT(J29),(COLUMN()-3)-(B31+8)&lt;0,(B31+8+B32) - (COLUMN()-2) &lt;0),"",J29*(1-B30)/(B32+1)*B29)</f>
        <v/>
      </c>
      <c r="AE40" s="74" t="str">
        <f>IF(OR(NOT(J29),(COLUMN()-3)-(B31+8)&lt;0,(B31+8+B32) - (COLUMN()-2) &lt;0),"",J29*(1-B30)/(B32+1)*B29)</f>
        <v/>
      </c>
      <c r="AF40" s="74" t="str">
        <f>IF(OR(NOT(J29),(COLUMN()-3)-(B31+8)&lt;0,(B31+8+B32) - (COLUMN()-2) &lt;0),"",J29*(1-B30)/(B32+1)*B29)</f>
        <v/>
      </c>
      <c r="AG40" s="91"/>
      <c r="AH40" s="91"/>
      <c r="AI40" s="91"/>
      <c r="AJ40" s="91"/>
    </row>
    <row r="41" spans="1:37" hidden="1">
      <c r="A41" s="91"/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50" t="str">
        <f>IF(OR(NOT(K29),(COLUMN()-3)-(B31+9)&lt;0,(B31+9+B32) - (COLUMN()-2) &lt;0),"",K29*(1-B30)/(B32+1)*B29)</f>
        <v/>
      </c>
      <c r="M41" s="50" t="str">
        <f>IF(OR(NOT(K29),(COLUMN()-3)-(B31+9)&lt;0,(B31+9+B32) - (COLUMN()-2) &lt;0),"",K29*(1-B30)/(B32+1)*B29)</f>
        <v/>
      </c>
      <c r="N41" s="50" t="str">
        <f>IF(OR(NOT(K29),(COLUMN()-3)-(B31+9)&lt;0,(B31+9+B32) - (COLUMN()-2) &lt;0),"",K29*(1-B30)/(B32+1)*B29)</f>
        <v/>
      </c>
      <c r="O41" s="72" t="str">
        <f>IF(OR(NOT(K29),(COLUMN()-3)-(B31+9)&lt;0,(B31+9+B32) - (COLUMN()-2) &lt;0),"",K29*(1-B30)/(B32+1)*B29)</f>
        <v/>
      </c>
      <c r="P41" s="72" t="str">
        <f>IF(OR(NOT(K29),(COLUMN()-3)-(B31+9)&lt;0,(B31+9+B32) - (COLUMN()-2) &lt;0),"",K29*(1-B30)/(B32+1)*B29)</f>
        <v/>
      </c>
      <c r="Q41" s="72" t="str">
        <f>IF(OR(NOT(K29),(COLUMN()-3)-(B31+9)&lt;0,(B31+9+B32) - (COLUMN()-2) &lt;0),"",K29*(1-B30)/(B32+1)*B29)</f>
        <v/>
      </c>
      <c r="R41" s="72" t="str">
        <f>IF(OR(NOT(K29),(COLUMN()-3)-(B31+9)&lt;0,(B31+9+B32) - (COLUMN()-2) &lt;0),"",K29*(1-B30)/(B32+1)*B29)</f>
        <v/>
      </c>
      <c r="S41" s="72" t="str">
        <f>IF(OR(NOT(K29),(COLUMN()-3)-(B31+9)&lt;0,(B31+9+B32) - (COLUMN()-2) &lt;0),"",K29*(1-B30)/(B32+1)*B29)</f>
        <v/>
      </c>
      <c r="T41" s="72" t="str">
        <f>IF(OR(NOT(K29),(COLUMN()-3)-(B31+9)&lt;0,(B31+9+B32) - (COLUMN()-2) &lt;0),"",K29*(1-B30)/(B32+1)*B29)</f>
        <v/>
      </c>
      <c r="U41" s="72" t="str">
        <f>IF(OR(NOT(K29),(COLUMN()-3)-(B31+9)&lt;0,(B31+9+B32) - (COLUMN()-2) &lt;0),"",K29*(1-B30)/(B32+1)*B29)</f>
        <v/>
      </c>
      <c r="V41" s="72" t="str">
        <f>IF(OR(NOT(K29),(COLUMN()-3)-(B31+9)&lt;0,(B31+9+B32) - (COLUMN()-2) &lt;0),"",K29*(1-B30)/(B32+1)*B29)</f>
        <v/>
      </c>
      <c r="W41" s="72" t="str">
        <f>IF(OR(NOT(K29),(COLUMN()-3)-(B31+9)&lt;0,(B31+9+B32) - (COLUMN()-2) &lt;0),"",K29*(1-B30)/(B32+1)*B29)</f>
        <v/>
      </c>
      <c r="X41" s="72" t="str">
        <f>IF(OR(NOT(K29),(COLUMN()-3)-(B31+9)&lt;0,(B31+9+B32) - (COLUMN()-2) &lt;0),"",K29*(1-B30)/(B32+1)*B29)</f>
        <v/>
      </c>
      <c r="Y41" s="72" t="str">
        <f>IF(OR(NOT(K29),(COLUMN()-3)-(B31+9)&lt;0,(B31+9+B32) - (COLUMN()-2) &lt;0),"",K29*(1-B30)/(B32+1)*B29)</f>
        <v/>
      </c>
      <c r="Z41" s="72" t="str">
        <f>IF(OR(NOT(K29),(COLUMN()-3)-(B31+9)&lt;0,(B31+9+B32) - (COLUMN()-2) &lt;0),"",K29*(1-B30)/(B32+1)*B29)</f>
        <v/>
      </c>
      <c r="AA41" s="74" t="str">
        <f>IF(OR(NOT(K29),(COLUMN()-3)-(B31+9)&lt;0,(B31+9+B32) - (COLUMN()-2) &lt;0),"",K29*(1-B30)/(B32+1)*B29)</f>
        <v/>
      </c>
      <c r="AB41" s="74" t="str">
        <f>IF(OR(NOT(K29),(COLUMN()-3)-(B31+9)&lt;0,(B31+9+B32) - (COLUMN()-2) &lt;0),"",K29*(1-B30)/(B32+1)*B29)</f>
        <v/>
      </c>
      <c r="AC41" s="74" t="str">
        <f>IF(OR(NOT(K29),(COLUMN()-3)-(B31+9)&lt;0,(B31+9+B32) - (COLUMN()-2) &lt;0),"",K29*(1-B30)/(B32+1)*B29)</f>
        <v/>
      </c>
      <c r="AD41" s="74" t="str">
        <f>IF(OR(NOT(K29),(COLUMN()-3)-(B31+9)&lt;0,(B31+9+B32) - (COLUMN()-2) &lt;0),"",K29*(1-B30)/(B32+1)*B29)</f>
        <v/>
      </c>
      <c r="AE41" s="74" t="str">
        <f>IF(OR(NOT(K29),(COLUMN()-3)-(B31+9)&lt;0,(B31+9+B32) - (COLUMN()-2) &lt;0),"",K29*(1-B30)/(B32+1)*B29)</f>
        <v/>
      </c>
      <c r="AF41" s="74" t="str">
        <f>IF(OR(NOT(K29),(COLUMN()-3)-(B31+9)&lt;0,(B31+9+B32) - (COLUMN()-2) &lt;0),"",K29*(1-B30)/(B32+1)*B29)</f>
        <v/>
      </c>
      <c r="AG41" s="74" t="str">
        <f>IF(OR(NOT(K29),(COLUMN()-3)-(B31+9)&lt;0,(B31+9+B32) - (COLUMN()-2) &lt;0),"",K29*(1-B30)/(B32+1)*B29)</f>
        <v/>
      </c>
      <c r="AH41" s="91"/>
      <c r="AI41" s="91"/>
      <c r="AJ41" s="91"/>
    </row>
    <row r="42" spans="1:37" hidden="1">
      <c r="A42" s="91"/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50" t="str">
        <f>IF(OR(NOT(L29),(COLUMN()-3)-(B31+10)&lt;0,(B31+10+B32) - (COLUMN()-2) &lt;0),"",L29*(1-B30)/(B32+1)*B29)</f>
        <v/>
      </c>
      <c r="N42" s="50" t="str">
        <f>IF(OR(NOT(L29),(COLUMN()-3)-(B31+10)&lt;0,(B31+10+B32) - (COLUMN()-2) &lt;0),"",L29*(1-B30)/(B32+1)*B29)</f>
        <v/>
      </c>
      <c r="O42" s="72" t="str">
        <f>IF(OR(NOT(L29),(COLUMN()-3)-(B31+10)&lt;0,(B31+10+B32) - (COLUMN()-2) &lt;0),"",L29*(1-B30)/(B32+1)*B29)</f>
        <v/>
      </c>
      <c r="P42" s="72" t="str">
        <f>IF(OR(NOT(L29),(COLUMN()-3)-(B31+10)&lt;0,(B31+10+B32) - (COLUMN()-2) &lt;0),"",L29*(1-B30)/(B32+1)*B29)</f>
        <v/>
      </c>
      <c r="Q42" s="72" t="str">
        <f>IF(OR(NOT(L29),(COLUMN()-3)-(B31+10)&lt;0,(B31+10+B32) - (COLUMN()-2) &lt;0),"",L29*(1-B30)/(B32+1)*B29)</f>
        <v/>
      </c>
      <c r="R42" s="72" t="str">
        <f>IF(OR(NOT(L29),(COLUMN()-3)-(B31+10)&lt;0,(B31+10+B32) - (COLUMN()-2) &lt;0),"",L29*(1-B30)/(B32+1)*B29)</f>
        <v/>
      </c>
      <c r="S42" s="72" t="str">
        <f>IF(OR(NOT(L29),(COLUMN()-3)-(B31+10)&lt;0,(B31+10+B32) - (COLUMN()-2) &lt;0),"",L29*(1-B30)/(B32+1)*B29)</f>
        <v/>
      </c>
      <c r="T42" s="72" t="str">
        <f>IF(OR(NOT(L29),(COLUMN()-3)-(B31+10)&lt;0,(B31+10+B32) - (COLUMN()-2) &lt;0),"",L29*(1-B30)/(B32+1)*B29)</f>
        <v/>
      </c>
      <c r="U42" s="72" t="str">
        <f>IF(OR(NOT(L29),(COLUMN()-3)-(B31+10)&lt;0,(B31+10+B32) - (COLUMN()-2) &lt;0),"",L29*(1-B30)/(B32+1)*B29)</f>
        <v/>
      </c>
      <c r="V42" s="72" t="str">
        <f>IF(OR(NOT(L29),(COLUMN()-3)-(B31+10)&lt;0,(B31+10+B32) - (COLUMN()-2) &lt;0),"",L29*(1-B30)/(B32+1)*B29)</f>
        <v/>
      </c>
      <c r="W42" s="72" t="str">
        <f>IF(OR(NOT(L29),(COLUMN()-3)-(B31+10)&lt;0,(B31+10+B32) - (COLUMN()-2) &lt;0),"",L29*(1-B30)/(B32+1)*B29)</f>
        <v/>
      </c>
      <c r="X42" s="72" t="str">
        <f>IF(OR(NOT(L29),(COLUMN()-3)-(B31+10)&lt;0,(B31+10+B32) - (COLUMN()-2) &lt;0),"",L29*(1-B30)/(B32+1)*B29)</f>
        <v/>
      </c>
      <c r="Y42" s="72" t="str">
        <f>IF(OR(NOT(L29),(COLUMN()-3)-(B31+10)&lt;0,(B31+10+B32) - (COLUMN()-2) &lt;0),"",L29*(1-B30)/(B32+1)*B29)</f>
        <v/>
      </c>
      <c r="Z42" s="72" t="str">
        <f>IF(OR(NOT(L29),(COLUMN()-3)-(B31+10)&lt;0,(B31+10+B32) - (COLUMN()-2) &lt;0),"",L29*(1-B30)/(B32+1)*B29)</f>
        <v/>
      </c>
      <c r="AA42" s="74" t="str">
        <f>IF(OR(NOT(L29),(COLUMN()-3)-(B31+10)&lt;0,(B31+10+B32) - (COLUMN()-2) &lt;0),"",L29*(1-B30)/(B32+1)*B29)</f>
        <v/>
      </c>
      <c r="AB42" s="74" t="str">
        <f>IF(OR(NOT(L29),(COLUMN()-3)-(B31+10)&lt;0,(B31+10+B32) - (COLUMN()-2) &lt;0),"",L29*(1-B30)/(B32+1)*B29)</f>
        <v/>
      </c>
      <c r="AC42" s="74" t="str">
        <f>IF(OR(NOT(L29),(COLUMN()-3)-(B31+10)&lt;0,(B31+10+B32) - (COLUMN()-2) &lt;0),"",L29*(1-B30)/(B32+1)*B29)</f>
        <v/>
      </c>
      <c r="AD42" s="74" t="str">
        <f>IF(OR(NOT(L29),(COLUMN()-3)-(B31+10)&lt;0,(B31+10+B32) - (COLUMN()-2) &lt;0),"",L29*(1-B30)/(B32+1)*B29)</f>
        <v/>
      </c>
      <c r="AE42" s="74" t="str">
        <f>IF(OR(NOT(L29),(COLUMN()-3)-(B31+10)&lt;0,(B31+10+B32) - (COLUMN()-2) &lt;0),"",L29*(1-B30)/(B32+1)*B29)</f>
        <v/>
      </c>
      <c r="AF42" s="74" t="str">
        <f>IF(OR(NOT(L29),(COLUMN()-3)-(B31+10)&lt;0,(B31+10+B32) - (COLUMN()-2) &lt;0),"",L29*(1-B30)/(B32+1)*B29)</f>
        <v/>
      </c>
      <c r="AG42" s="74" t="str">
        <f>IF(OR(NOT(L29),(COLUMN()-3)-(B31+10)&lt;0,(B31+10+B32) - (COLUMN()-2) &lt;0),"",L29*(1-B30)/(B32+1)*B29)</f>
        <v/>
      </c>
      <c r="AH42" s="74" t="str">
        <f>IF(OR(NOT(L29),(COLUMN()-3)-(B31+10)&lt;0,(B31+10+B32) - (COLUMN()-2) &lt;0),"",L29*(1-B30)/(B32+1)*B29)</f>
        <v/>
      </c>
      <c r="AI42" s="91"/>
      <c r="AJ42" s="91"/>
    </row>
    <row r="43" spans="1:37" hidden="1">
      <c r="A43" s="91"/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50" t="str">
        <f>IF(OR(NOT(M29),(COLUMN()-3)-(B31+11)&lt;0,(B31+11+B32) - (COLUMN()-2) &lt;0),"",M29*(1-B30)/(B32+1)*B29)</f>
        <v/>
      </c>
      <c r="O43" s="72" t="str">
        <f>IF(OR(NOT(M29),(COLUMN()-3)-(B31+11)&lt;0,(B31+11+B32) - (COLUMN()-2) &lt;0),"",M29*(1-B30)/(B32+1)*B29)</f>
        <v/>
      </c>
      <c r="P43" s="72" t="str">
        <f>IF(OR(NOT(M29),(COLUMN()-3)-(B31+11)&lt;0,(B31+11+B32) - (COLUMN()-2) &lt;0),"",M29*(1-B30)/(B32+1)*B29)</f>
        <v/>
      </c>
      <c r="Q43" s="72" t="str">
        <f>IF(OR(NOT(M29),(COLUMN()-3)-(B31+11)&lt;0,(B31+11+B32) - (COLUMN()-2) &lt;0),"",M29*(1-B30)/(B32+1)*B29)</f>
        <v/>
      </c>
      <c r="R43" s="72" t="str">
        <f>IF(OR(NOT(M29),(COLUMN()-3)-(B31+11)&lt;0,(B31+11+B32) - (COLUMN()-2) &lt;0),"",M29*(1-B30)/(B32+1)*B29)</f>
        <v/>
      </c>
      <c r="S43" s="72" t="str">
        <f>IF(OR(NOT(M29),(COLUMN()-3)-(B31+11)&lt;0,(B31+11+B32) - (COLUMN()-2) &lt;0),"",M29*(1-B30)/(B32+1)*B29)</f>
        <v/>
      </c>
      <c r="T43" s="72" t="str">
        <f>IF(OR(NOT(M29),(COLUMN()-3)-(B31+11)&lt;0,(B31+11+B32) - (COLUMN()-2) &lt;0),"",M29*(1-B30)/(B32+1)*B29)</f>
        <v/>
      </c>
      <c r="U43" s="72" t="str">
        <f>IF(OR(NOT(M29),(COLUMN()-3)-(B31+11)&lt;0,(B31+11+B32) - (COLUMN()-2) &lt;0),"",M29*(1-B30)/(B32+1)*B29)</f>
        <v/>
      </c>
      <c r="V43" s="72" t="str">
        <f>IF(OR(NOT(M29),(COLUMN()-3)-(B31+11)&lt;0,(B31+11+B32) - (COLUMN()-2) &lt;0),"",M29*(1-B30)/(B32+1)*B29)</f>
        <v/>
      </c>
      <c r="W43" s="72" t="str">
        <f>IF(OR(NOT(M29),(COLUMN()-3)-(B31+11)&lt;0,(B31+11+B32) - (COLUMN()-2) &lt;0),"",M29*(1-B30)/(B32+1)*B29)</f>
        <v/>
      </c>
      <c r="X43" s="72" t="str">
        <f>IF(OR(NOT(M29),(COLUMN()-3)-(B31+11)&lt;0,(B31+11+B32) - (COLUMN()-2) &lt;0),"",M29*(1-B30)/(B32+1)*B29)</f>
        <v/>
      </c>
      <c r="Y43" s="72" t="str">
        <f>IF(OR(NOT(M29),(COLUMN()-3)-(B31+11)&lt;0,(B31+11+B32) - (COLUMN()-2) &lt;0),"",M29*(1-B30)/(B32+1)*B29)</f>
        <v/>
      </c>
      <c r="Z43" s="72" t="str">
        <f>IF(OR(NOT(M29),(COLUMN()-3)-(B31+11)&lt;0,(B31+11+B32) - (COLUMN()-2) &lt;0),"",M29*(1-B30)/(B32+1)*B29)</f>
        <v/>
      </c>
      <c r="AA43" s="74" t="str">
        <f>IF(OR(NOT(M29),(COLUMN()-3)-(B31+11)&lt;0,(B31+11+B32) - (COLUMN()-2) &lt;0),"",M29*(1-B30)/(B32+1)*B29)</f>
        <v/>
      </c>
      <c r="AB43" s="74" t="str">
        <f>IF(OR(NOT(M29),(COLUMN()-3)-(B31+11)&lt;0,(B31+11+B32) - (COLUMN()-2) &lt;0),"",M29*(1-B30)/(B32+1)*B29)</f>
        <v/>
      </c>
      <c r="AC43" s="74" t="str">
        <f>IF(OR(NOT(M29),(COLUMN()-3)-(B31+11)&lt;0,(B31+11+B32) - (COLUMN()-2) &lt;0),"",M29*(1-B30)/(B32+1)*B29)</f>
        <v/>
      </c>
      <c r="AD43" s="74" t="str">
        <f>IF(OR(NOT(M29),(COLUMN()-3)-(B31+11)&lt;0,(B31+11+B32) - (COLUMN()-2) &lt;0),"",M29*(1-B30)/(B32+1)*B29)</f>
        <v/>
      </c>
      <c r="AE43" s="74" t="str">
        <f>IF(OR(NOT(M29),(COLUMN()-3)-(B31+11)&lt;0,(B31+11+B32) - (COLUMN()-2) &lt;0),"",M29*(1-B30)/(B32+1)*B29)</f>
        <v/>
      </c>
      <c r="AF43" s="74" t="str">
        <f>IF(OR(NOT(M29),(COLUMN()-3)-(B31+11)&lt;0,(B31+11+B32) - (COLUMN()-2) &lt;0),"",M29*(1-B30)/(B32+1)*B29)</f>
        <v/>
      </c>
      <c r="AG43" s="74" t="str">
        <f>IF(OR(NOT(M29),(COLUMN()-3)-(B31+11)&lt;0,(B31+11+B32) - (COLUMN()-2) &lt;0),"",M29*(1-B30)/(B32+1)*B29)</f>
        <v/>
      </c>
      <c r="AH43" s="74" t="str">
        <f>IF(OR(NOT(M29),(COLUMN()-3)-(B31+11)&lt;0,(B31+11+B32) - (COLUMN()-2) &lt;0),"",M29*(1-B30)/(B32+1)*B29)</f>
        <v/>
      </c>
      <c r="AI43" s="74" t="str">
        <f>IF(OR(NOT(M29),(COLUMN()-3)-(B31+11)&lt;0,(B31+11+B32) - (COLUMN()-2) &lt;0),"",M29*(1-B30)/(B32+1)*B29)</f>
        <v/>
      </c>
      <c r="AJ43" s="91"/>
    </row>
    <row r="44" spans="1:37" hidden="1">
      <c r="A44" s="91"/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72" t="str">
        <f>IF(OR(NOT(N29),(COLUMN()-3)-(B31+12)&lt;0,(B31+12+B32) - (COLUMN()-2) &lt;0),"",N29*(1-B30)/(B32+1)*B29)</f>
        <v/>
      </c>
      <c r="P44" s="72" t="str">
        <f>IF(OR(NOT(N29),(COLUMN()-3)-(B31+12)&lt;0,(B31+12+B32) - (COLUMN()-2) &lt;0),"",N29*(1-B30)/(B32+1)*B29)</f>
        <v/>
      </c>
      <c r="Q44" s="72" t="str">
        <f>IF(OR(NOT(N29),(COLUMN()-3)-(B31+12)&lt;0,(B31+12+B32) - (COLUMN()-2) &lt;0),"",N29*(1-B30)/(B32+1)*B29)</f>
        <v/>
      </c>
      <c r="R44" s="72" t="str">
        <f>IF(OR(NOT(N29),(COLUMN()-3)-(B31+12)&lt;0,(B31+12+B32) - (COLUMN()-2) &lt;0),"",N29*(1-B30)/(B32+1)*B29)</f>
        <v/>
      </c>
      <c r="S44" s="72" t="str">
        <f>IF(OR(NOT(N29),(COLUMN()-3)-(B31+12)&lt;0,(B31+12+B32) - (COLUMN()-2) &lt;0),"",N29*(1-B30)/(B32+1)*B29)</f>
        <v/>
      </c>
      <c r="T44" s="72" t="str">
        <f>IF(OR(NOT(N29),(COLUMN()-3)-(B31+12)&lt;0,(B31+12+B32) - (COLUMN()-2) &lt;0),"",N29*(1-B30)/(B32+1)*B29)</f>
        <v/>
      </c>
      <c r="U44" s="72" t="str">
        <f>IF(OR(NOT(N29),(COLUMN()-3)-(B31+12)&lt;0,(B31+12+B32) - (COLUMN()-2) &lt;0),"",N29*(1-B30)/(B32+1)*B29)</f>
        <v/>
      </c>
      <c r="V44" s="72" t="str">
        <f>IF(OR(NOT(N29),(COLUMN()-3)-(B31+12)&lt;0,(B31+12+B32) - (COLUMN()-2) &lt;0),"",N29*(1-B30)/(B32+1)*B29)</f>
        <v/>
      </c>
      <c r="W44" s="72" t="str">
        <f>IF(OR(NOT(N29),(COLUMN()-3)-(B31+12)&lt;0,(B31+12+B32) - (COLUMN()-2) &lt;0),"",N29*(1-B30)/(B32+1)*B29)</f>
        <v/>
      </c>
      <c r="X44" s="72" t="str">
        <f>IF(OR(NOT(N29),(COLUMN()-3)-(B31+12)&lt;0,(B31+12+B32) - (COLUMN()-2) &lt;0),"",N29*(1-B30)/(B32+1)*B29)</f>
        <v/>
      </c>
      <c r="Y44" s="72" t="str">
        <f>IF(OR(NOT(N29),(COLUMN()-3)-(B31+12)&lt;0,(B31+12+B32) - (COLUMN()-2) &lt;0),"",N29*(1-B30)/(B32+1)*B29)</f>
        <v/>
      </c>
      <c r="Z44" s="72" t="str">
        <f>IF(OR(NOT(N29),(COLUMN()-3)-(B31+12)&lt;0,(B31+12+B32) - (COLUMN()-2) &lt;0),"",N29*(1-B30)/(B32+1)*B29)</f>
        <v/>
      </c>
      <c r="AA44" s="74" t="str">
        <f>IF(OR(NOT(N29),(COLUMN()-3)-(B31+12)&lt;0,(B31+12+B32) - (COLUMN()-2) &lt;0),"",N29*(1-B30)/(B32+1)*B29)</f>
        <v/>
      </c>
      <c r="AB44" s="74" t="str">
        <f>IF(OR(NOT(N29),(COLUMN()-3)-(B31+12)&lt;0,(B31+12+B32) - (COLUMN()-2) &lt;0),"",N29*(1-B30)/(B32+1)*B29)</f>
        <v/>
      </c>
      <c r="AC44" s="74" t="str">
        <f>IF(OR(NOT(N29),(COLUMN()-3)-(B31+12)&lt;0,(B31+12+B32) - (COLUMN()-2) &lt;0),"",N29*(1-B30)/(B32+1)*B29)</f>
        <v/>
      </c>
      <c r="AD44" s="74" t="str">
        <f>IF(OR(NOT(N29),(COLUMN()-3)-(B31+12)&lt;0,(B31+12+B32) - (COLUMN()-2) &lt;0),"",N29*(1-B30)/(B32+1)*B29)</f>
        <v/>
      </c>
      <c r="AE44" s="74" t="str">
        <f>IF(OR(NOT(N29),(COLUMN()-3)-(B31+12)&lt;0,(B31+12+B32) - (COLUMN()-2) &lt;0),"",N29*(1-B30)/(B32+1)*B29)</f>
        <v/>
      </c>
      <c r="AF44" s="74" t="str">
        <f>IF(OR(NOT(N29),(COLUMN()-3)-(B31+12)&lt;0,(B31+12+B32) - (COLUMN()-2) &lt;0),"",N29*(1-B30)/(B32+1)*B29)</f>
        <v/>
      </c>
      <c r="AG44" s="74" t="str">
        <f>IF(OR(NOT(N29),(COLUMN()-3)-(B31+12)&lt;0,(B31+12+B32) - (COLUMN()-2) &lt;0),"",N29*(1-B30)/(B32+1)*B29)</f>
        <v/>
      </c>
      <c r="AH44" s="74" t="str">
        <f>IF(OR(NOT(N29),(COLUMN()-3)-(B31+12)&lt;0,(B31+12+B32) - (COLUMN()-2) &lt;0),"",N29*(1-B30)/(B32+1)*B29)</f>
        <v/>
      </c>
      <c r="AI44" s="74" t="str">
        <f>IF(OR(NOT(N29),(COLUMN()-3)-(B31+12)&lt;0,(B31+12+B32) - (COLUMN()-2) &lt;0),"",N29*(1-B30)/(B32+1)*B29)</f>
        <v/>
      </c>
      <c r="AJ44" s="74" t="str">
        <f>IF(OR(NOT(N29),(COLUMN()-3)-(B31+12)&lt;0,(B31+12+B32) - (COLUMN()-2) &lt;0),"",N29*(1-B30)/(B32+1)*B29)</f>
        <v/>
      </c>
    </row>
    <row r="45" spans="1:37">
      <c r="A45" s="90" t="s">
        <v>85</v>
      </c>
      <c r="B45" s="52"/>
      <c r="C45" s="92" t="str">
        <f>IF(-SUM(C30:C31)*B45,-SUM(C30:C31)*B45,"")</f>
        <v/>
      </c>
      <c r="D45" s="92" t="str">
        <f>IF(-SUM(D30:D32)*B45,-SUM(D30:D32)*B45,"")</f>
        <v/>
      </c>
      <c r="E45" s="92" t="str">
        <f>IF(-SUM(E30:E32)*B45,-SUM(E30:E32)*B45,"")</f>
        <v/>
      </c>
      <c r="F45" s="92" t="str">
        <f>IF(-SUM(F30:F32)*B45,-SUM(F30:F32)*B45,"")</f>
        <v/>
      </c>
      <c r="G45" s="92" t="str">
        <f>IF(-SUM(G30:G32)*B45,-SUM(G30:G32)*B45,"")</f>
        <v/>
      </c>
      <c r="H45" s="92" t="str">
        <f>IF(-SUM(H30:H32)*B45,-SUM(H30:H32)*B45,"")</f>
        <v/>
      </c>
      <c r="I45" s="92" t="str">
        <f>IF(-SUM(I30:I32)*B45,-SUM(I30:I32)*B45,"")</f>
        <v/>
      </c>
      <c r="J45" s="92" t="str">
        <f>IF(-SUM(J30:J32)*B45,-SUM(J30:J32)*B45,"")</f>
        <v/>
      </c>
      <c r="K45" s="92" t="str">
        <f>IF(-SUM(K30:K32)*B45,-SUM(K30:K32)*B45,"")</f>
        <v/>
      </c>
      <c r="L45" s="92" t="str">
        <f>IF(-SUM(L30:L32)*B45,-SUM(L30:L32)*B45,"")</f>
        <v/>
      </c>
      <c r="M45" s="92" t="str">
        <f>IF(-SUM(M30:M32)*B45,-SUM(M30:M32)*B45,"")</f>
        <v/>
      </c>
      <c r="N45" s="92" t="str">
        <f>IF(-SUM(N30:N32)*B45,-SUM(N30:N32)*B45,"")</f>
        <v/>
      </c>
      <c r="O45" s="92" t="str">
        <f>IF(-SUM(O31:O32)*B45,-SUM(O31:O32)*B45,"")</f>
        <v/>
      </c>
      <c r="P45" s="92" t="str">
        <f>IF(-SUM(P31:P32)*B45,-SUM(P31:P32)*B45,"")</f>
        <v/>
      </c>
      <c r="Q45" s="92" t="str">
        <f>IF(-SUM(Q31:Q32)*B45,-SUM(Q31:Q32)*B45,"")</f>
        <v/>
      </c>
      <c r="R45" s="92" t="str">
        <f>IF(-SUM(R31:R32)*B45,-SUM(R31:R32)*B45,"")</f>
        <v/>
      </c>
      <c r="S45" s="92" t="str">
        <f>IF(-SUM(S31:S32)*B45,-SUM(S31:S32)*B45,"")</f>
        <v/>
      </c>
      <c r="T45" s="92" t="str">
        <f>IF(-SUM(T31:T32)*B45,-SUM(T31:T32)*B45,"")</f>
        <v/>
      </c>
      <c r="U45" s="92" t="str">
        <f>IF(-SUM(U31:U32)*B45,-SUM(U31:U32)*B45,"")</f>
        <v/>
      </c>
      <c r="V45" s="92" t="str">
        <f>IF(-SUM(V31:V32)*B45,-SUM(V31:V32)*B45,"")</f>
        <v/>
      </c>
      <c r="W45" s="92" t="str">
        <f>IF(-SUM(W31:W32)*B45,-SUM(W31:W32)*B45,"")</f>
        <v/>
      </c>
      <c r="X45" s="92" t="str">
        <f>IF(-SUM(X31:X32)*B45,-SUM(X31:X32)*B45,"")</f>
        <v/>
      </c>
      <c r="Y45" s="92" t="str">
        <f>IF(-SUM(Y31:Y32)*B45,-SUM(Y31:Y32)*B45,"")</f>
        <v/>
      </c>
      <c r="Z45" s="92" t="str">
        <f>IF(-SUM(Z32)*B45,-Z32*B45,"")</f>
        <v/>
      </c>
      <c r="AA45" s="92" t="str">
        <f>IF(-SUM(AA32),-AA32*B45,"")</f>
        <v/>
      </c>
      <c r="AB45" s="92" t="str">
        <f>IF(-SUM(AB32)*B45,-AB32*B45,"")</f>
        <v/>
      </c>
      <c r="AC45" s="92" t="str">
        <f>IF(-SUM(AC32)*B45,-AC32*B45,"")</f>
        <v/>
      </c>
      <c r="AD45" s="92" t="str">
        <f>IF(-SUM(AD32)*B45,-AD32*B45,"")</f>
        <v/>
      </c>
      <c r="AE45" s="92" t="str">
        <f>IF(-SUM(AE32)*B45,-AE32*B45,"")</f>
        <v/>
      </c>
      <c r="AF45" s="92" t="str">
        <f>IF(-SUM(AF32)*B45,-AF32*B45,"")</f>
        <v/>
      </c>
      <c r="AG45" s="92" t="str">
        <f>IF(-SUM(AG32)*B45,-AG32*B45,"")</f>
        <v/>
      </c>
      <c r="AH45" s="92" t="str">
        <f>IF(-SUM(AH32)*B45,-AH32*B45,"")</f>
        <v/>
      </c>
      <c r="AI45" s="92" t="str">
        <f>IF(-SUM(AI32)*B45,-AI32*B45,"")</f>
        <v/>
      </c>
      <c r="AJ45" s="92" t="str">
        <f>IF(-SUM(AJ32)*B45,-AJ32*B45,"")</f>
        <v/>
      </c>
      <c r="AK45" s="1"/>
    </row>
    <row r="46" spans="1:37" ht="15" thickBot="1">
      <c r="A46" s="90" t="s">
        <v>86</v>
      </c>
      <c r="B46" s="4"/>
      <c r="C46" s="92" t="str">
        <f>IF(-B46*C29,-B46*C29,"")</f>
        <v/>
      </c>
      <c r="D46" s="92" t="str">
        <f>IF(-B46*D29,-B46*D29,"")</f>
        <v/>
      </c>
      <c r="E46" s="92" t="str">
        <f>IF(-B46*E29,-B46*E29,"")</f>
        <v/>
      </c>
      <c r="F46" s="92" t="str">
        <f>IF(-B46*F29,-B46*F29,"")</f>
        <v/>
      </c>
      <c r="G46" s="92" t="str">
        <f>IF(-B46*G29,-B46*G29,"")</f>
        <v/>
      </c>
      <c r="H46" s="92" t="str">
        <f>IF(-B46*H29,-B46*H29,"")</f>
        <v/>
      </c>
      <c r="I46" s="92" t="str">
        <f>IF(-B46*I29,-B46*I29,"")</f>
        <v/>
      </c>
      <c r="J46" s="92" t="str">
        <f>IF(-B46*J29,-B46*J29,"")</f>
        <v/>
      </c>
      <c r="K46" s="92" t="str">
        <f>IF(-B46*K29,-B46*K29,"")</f>
        <v/>
      </c>
      <c r="L46" s="92" t="str">
        <f>IF(-B46*L29,-B46*L29,"")</f>
        <v/>
      </c>
      <c r="M46" s="92" t="str">
        <f>IF(-B46*M29,-B46*M29,"")</f>
        <v/>
      </c>
      <c r="N46" s="92" t="str">
        <f>IF(-B46*N29,-B46*N29,"")</f>
        <v/>
      </c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1"/>
    </row>
    <row r="47" spans="1:37" ht="18.600000000000001" thickBot="1">
      <c r="B47" s="78" t="s">
        <v>87</v>
      </c>
      <c r="C47" s="93">
        <f>SUM(C30:C31)+SUM(C45:C46)</f>
        <v>0</v>
      </c>
      <c r="D47" s="93">
        <f t="shared" ref="D47:N47" si="9">SUM(D30:D32)+SUM(D45:D46)</f>
        <v>0</v>
      </c>
      <c r="E47" s="93">
        <f t="shared" si="9"/>
        <v>0</v>
      </c>
      <c r="F47" s="93">
        <f t="shared" si="9"/>
        <v>0</v>
      </c>
      <c r="G47" s="93">
        <f t="shared" si="9"/>
        <v>0</v>
      </c>
      <c r="H47" s="93">
        <f t="shared" si="9"/>
        <v>0</v>
      </c>
      <c r="I47" s="93">
        <f t="shared" si="9"/>
        <v>0</v>
      </c>
      <c r="J47" s="93">
        <f t="shared" si="9"/>
        <v>0</v>
      </c>
      <c r="K47" s="93">
        <f t="shared" si="9"/>
        <v>0</v>
      </c>
      <c r="L47" s="93">
        <f t="shared" si="9"/>
        <v>0</v>
      </c>
      <c r="M47" s="93">
        <f t="shared" si="9"/>
        <v>0</v>
      </c>
      <c r="N47" s="93">
        <f t="shared" si="9"/>
        <v>0</v>
      </c>
      <c r="O47" s="94">
        <f t="shared" ref="O47:Y47" si="10">SUM(O31:O32)+SUM(O45)</f>
        <v>0</v>
      </c>
      <c r="P47" s="94">
        <f t="shared" si="10"/>
        <v>0</v>
      </c>
      <c r="Q47" s="94">
        <f t="shared" si="10"/>
        <v>0</v>
      </c>
      <c r="R47" s="94">
        <f t="shared" si="10"/>
        <v>0</v>
      </c>
      <c r="S47" s="94">
        <f t="shared" si="10"/>
        <v>0</v>
      </c>
      <c r="T47" s="94">
        <f t="shared" si="10"/>
        <v>0</v>
      </c>
      <c r="U47" s="94">
        <f t="shared" si="10"/>
        <v>0</v>
      </c>
      <c r="V47" s="94">
        <f t="shared" si="10"/>
        <v>0</v>
      </c>
      <c r="W47" s="94">
        <f t="shared" si="10"/>
        <v>0</v>
      </c>
      <c r="X47" s="94">
        <f t="shared" si="10"/>
        <v>0</v>
      </c>
      <c r="Y47" s="94">
        <f t="shared" si="10"/>
        <v>0</v>
      </c>
      <c r="Z47" s="94">
        <f t="shared" ref="Z47:AJ47" si="11">SUM(Z32)+SUM(Z45)</f>
        <v>0</v>
      </c>
      <c r="AA47" s="95">
        <f t="shared" si="11"/>
        <v>0</v>
      </c>
      <c r="AB47" s="95">
        <f t="shared" si="11"/>
        <v>0</v>
      </c>
      <c r="AC47" s="95">
        <f t="shared" si="11"/>
        <v>0</v>
      </c>
      <c r="AD47" s="95">
        <f t="shared" si="11"/>
        <v>0</v>
      </c>
      <c r="AE47" s="95">
        <f t="shared" si="11"/>
        <v>0</v>
      </c>
      <c r="AF47" s="95">
        <f t="shared" si="11"/>
        <v>0</v>
      </c>
      <c r="AG47" s="95">
        <f t="shared" si="11"/>
        <v>0</v>
      </c>
      <c r="AH47" s="95">
        <f t="shared" si="11"/>
        <v>0</v>
      </c>
      <c r="AI47" s="95">
        <f t="shared" si="11"/>
        <v>0</v>
      </c>
      <c r="AJ47" s="95">
        <f t="shared" si="11"/>
        <v>0</v>
      </c>
      <c r="AK47" s="1"/>
    </row>
    <row r="49" spans="1:38">
      <c r="A49" s="86" t="str">
        <f>IF('Reverse Engineering Valuation'!A29 = "","    ---    ",'Reverse Engineering Valuation'!A29)</f>
        <v>Kilter Roller</v>
      </c>
      <c r="B49" s="87" t="str">
        <f>IF(ROUND(B55,1)&gt;0,CONCATENATE("Under by ",ROUND(B55,1)), IF(ROUND(B55,1)&lt;0, CONCATENATE("OVER BY ",ROUND(B55,1)), "You Matched"))</f>
        <v>Under by 800</v>
      </c>
      <c r="C49" s="85">
        <f>C28</f>
        <v>45658</v>
      </c>
      <c r="D49" s="85">
        <f t="shared" ref="D49:N49" si="12">D28</f>
        <v>45689</v>
      </c>
      <c r="E49" s="85">
        <f t="shared" si="12"/>
        <v>45717</v>
      </c>
      <c r="F49" s="85">
        <f t="shared" si="12"/>
        <v>45748</v>
      </c>
      <c r="G49" s="85">
        <f t="shared" si="12"/>
        <v>45778</v>
      </c>
      <c r="H49" s="85">
        <f t="shared" si="12"/>
        <v>45809</v>
      </c>
      <c r="I49" s="85">
        <f t="shared" si="12"/>
        <v>45839</v>
      </c>
      <c r="J49" s="85">
        <f t="shared" si="12"/>
        <v>45870</v>
      </c>
      <c r="K49" s="85">
        <f t="shared" si="12"/>
        <v>45901</v>
      </c>
      <c r="L49" s="85">
        <f t="shared" si="12"/>
        <v>45931</v>
      </c>
      <c r="M49" s="85">
        <f t="shared" si="12"/>
        <v>45962</v>
      </c>
      <c r="N49" s="85">
        <f t="shared" si="12"/>
        <v>45992</v>
      </c>
      <c r="O49" s="88" t="str">
        <f t="shared" ref="O49:AJ49" si="13" xml:space="preserve">  CONCATENATE("Ext +", COLUMN()-14)</f>
        <v>Ext +1</v>
      </c>
      <c r="P49" s="88" t="str">
        <f t="shared" si="13"/>
        <v>Ext +2</v>
      </c>
      <c r="Q49" s="88" t="str">
        <f t="shared" si="13"/>
        <v>Ext +3</v>
      </c>
      <c r="R49" s="88" t="str">
        <f t="shared" si="13"/>
        <v>Ext +4</v>
      </c>
      <c r="S49" s="88" t="str">
        <f t="shared" si="13"/>
        <v>Ext +5</v>
      </c>
      <c r="T49" s="88" t="str">
        <f t="shared" si="13"/>
        <v>Ext +6</v>
      </c>
      <c r="U49" s="88" t="str">
        <f t="shared" si="13"/>
        <v>Ext +7</v>
      </c>
      <c r="V49" s="88" t="str">
        <f t="shared" si="13"/>
        <v>Ext +8</v>
      </c>
      <c r="W49" s="88" t="str">
        <f t="shared" si="13"/>
        <v>Ext +9</v>
      </c>
      <c r="X49" s="88" t="str">
        <f t="shared" si="13"/>
        <v>Ext +10</v>
      </c>
      <c r="Y49" s="88" t="str">
        <f t="shared" si="13"/>
        <v>Ext +11</v>
      </c>
      <c r="Z49" s="88" t="str">
        <f t="shared" si="13"/>
        <v>Ext +12</v>
      </c>
      <c r="AA49" s="89" t="str">
        <f t="shared" si="13"/>
        <v>Ext +13</v>
      </c>
      <c r="AB49" s="89" t="str">
        <f t="shared" si="13"/>
        <v>Ext +14</v>
      </c>
      <c r="AC49" s="89" t="str">
        <f t="shared" si="13"/>
        <v>Ext +15</v>
      </c>
      <c r="AD49" s="89" t="str">
        <f t="shared" si="13"/>
        <v>Ext +16</v>
      </c>
      <c r="AE49" s="89" t="str">
        <f t="shared" si="13"/>
        <v>Ext +17</v>
      </c>
      <c r="AF49" s="89" t="str">
        <f t="shared" si="13"/>
        <v>Ext +18</v>
      </c>
      <c r="AG49" s="89" t="str">
        <f t="shared" si="13"/>
        <v>Ext +19</v>
      </c>
      <c r="AH49" s="89" t="str">
        <f t="shared" si="13"/>
        <v>Ext +20</v>
      </c>
      <c r="AI49" s="89" t="str">
        <f t="shared" si="13"/>
        <v>Ext +21</v>
      </c>
      <c r="AJ49" s="89" t="str">
        <f t="shared" si="13"/>
        <v>Ext +22</v>
      </c>
    </row>
    <row r="50" spans="1:38">
      <c r="A50" s="90" t="str">
        <f>A29</f>
        <v xml:space="preserve">Number of customers @ </v>
      </c>
      <c r="B50" s="50">
        <f>'Reverse Engineering Valuation'!B29</f>
        <v>69.989999999999995</v>
      </c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1"/>
      <c r="AL50" s="1"/>
    </row>
    <row r="51" spans="1:38">
      <c r="A51" s="90" t="s">
        <v>80</v>
      </c>
      <c r="B51" s="52"/>
      <c r="C51" s="50" t="str">
        <f>IF(C50*B51*B50,C50*B51*B50,"")</f>
        <v/>
      </c>
      <c r="D51" s="50" t="str">
        <f>IF(D50*B51*B50,D50*B51*B50,"")</f>
        <v/>
      </c>
      <c r="E51" s="50" t="str">
        <f>IF(E50*B51*B50,E50*B51*B50,"")</f>
        <v/>
      </c>
      <c r="F51" s="50" t="str">
        <f>IF(F50*B51*B50,F50*B51*B50,"")</f>
        <v/>
      </c>
      <c r="G51" s="50" t="str">
        <f>IF(G50*B51*B50,G50*B51*B50,"")</f>
        <v/>
      </c>
      <c r="H51" s="50" t="str">
        <f>IF(H50*B51*B50,H50*B51*B50,"")</f>
        <v/>
      </c>
      <c r="I51" s="50" t="str">
        <f>IF(I50*B51*B50,I50*B51*B50,"")</f>
        <v/>
      </c>
      <c r="J51" s="50" t="str">
        <f>IF(J50*B51*B50,J50*B51*B50,"")</f>
        <v/>
      </c>
      <c r="K51" s="50" t="str">
        <f>IF(K50*B51*B50,K50*B51*B50,"")</f>
        <v/>
      </c>
      <c r="L51" s="50" t="str">
        <f>IF(L50*B51*B50,L50*B51*B50,"")</f>
        <v/>
      </c>
      <c r="M51" s="50" t="str">
        <f>IF(M50*B51*B50,M50*B51*B50,"")</f>
        <v/>
      </c>
      <c r="N51" s="50" t="str">
        <f>IF(N50*B51*B50,N50*B51*B50,"")</f>
        <v/>
      </c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1"/>
    </row>
    <row r="52" spans="1:38">
      <c r="A52" s="90" t="s">
        <v>81</v>
      </c>
      <c r="B52" s="53"/>
      <c r="C52" s="50" t="str">
        <f>IF(IF((COLUMN()-2-B52)&gt;0,INDEX(C50:Z50,1, (COLUMN()-2-B52)),0)&gt;=1,(B50* IF((COLUMN()-2-B52)&gt;0,INDEX(C50:Z50,1, (COLUMN()-2-B52)),0)*(1-B51))/(B53+1),"")</f>
        <v/>
      </c>
      <c r="D52" s="50" t="str">
        <f>IF(IF((COLUMN()-2-B52)&gt;0,INDEX(C50:Z50,1, (COLUMN()-2-B52)),0)&gt;=1,(B50* IF((COLUMN()-2-B52)&gt;0,INDEX(C50:Z50,1, (COLUMN()-2-B52)),0)*(1-B51))/(B53+1),"")</f>
        <v/>
      </c>
      <c r="E52" s="50" t="str">
        <f>IF(IF((COLUMN()-2-B52)&gt;0,INDEX(C50:Z50,1, (COLUMN()-2-B52)),0)&gt;=1,(B50* IF((COLUMN()-2-B52)&gt;0,INDEX(C50:Z50,1, (COLUMN()-2-B52)),0)*(1-B51))/(B53+1),"")</f>
        <v/>
      </c>
      <c r="F52" s="50" t="str">
        <f>IF(IF((COLUMN()-2-B52)&gt;0,INDEX(C50:Z50,1, (COLUMN()-2-B52)),0)&gt;=1,(B50* IF((COLUMN()-2-B52)&gt;0,INDEX(C50:Z50,1, (COLUMN()-2-B52)),0)*(1-B51))/(B53+1),"")</f>
        <v/>
      </c>
      <c r="G52" s="50" t="str">
        <f>IF(IF((COLUMN()-2-B52)&gt;0,INDEX(C50:Z50,1, (COLUMN()-2-B52)),0)&gt;=1,(B50* IF((COLUMN()-2-B52)&gt;0,INDEX(C50:Z50,1, (COLUMN()-2-B52)),0)*(1-B51))/(B53+1),"")</f>
        <v/>
      </c>
      <c r="H52" s="50" t="str">
        <f>IF(IF((COLUMN()-2-B52)&gt;0,INDEX(C50:Z50,1, (COLUMN()-2-B52)),0)&gt;=1,(B50* IF((COLUMN()-2-B52)&gt;0,INDEX(C50:Z50,1, (COLUMN()-2-B52)),0)*(1-B51))/(B53+1),"")</f>
        <v/>
      </c>
      <c r="I52" s="50" t="str">
        <f>IF(IF((COLUMN()-2-B52)&gt;0,INDEX(C50:Z50,1, (COLUMN()-2-B52)),0)&gt;=1,(B50* IF((COLUMN()-2-B52)&gt;0,INDEX(C50:Z50,1, (COLUMN()-2-B52)),0)*(1-B51))/(B53+1),"")</f>
        <v/>
      </c>
      <c r="J52" s="50" t="str">
        <f>IF(IF((COLUMN()-2-B52)&gt;0,INDEX(C50:Z50,1, (COLUMN()-2-B52)),0)&gt;=1,(B50* IF((COLUMN()-2-B52)&gt;0,INDEX(C50:Z50,1, (COLUMN()-2-B52)),0)*(1-B51))/(B53+1),"")</f>
        <v/>
      </c>
      <c r="K52" s="50" t="str">
        <f>IF(IF((COLUMN()-2-B52)&gt;0,INDEX(C50:Z50,1, (COLUMN()-2-B52)),0)&gt;=1,(B50* IF((COLUMN()-2-B52)&gt;0,INDEX(C50:Z50,1, (COLUMN()-2-B52)),0)*(1-B51))/(B53+1),"")</f>
        <v/>
      </c>
      <c r="L52" s="50" t="str">
        <f>IF(IF((COLUMN()-2-B52)&gt;0,INDEX(C50:Z50,1, (COLUMN()-2-B52)),0)&gt;=1,(B50* IF((COLUMN()-2-B52)&gt;0,INDEX(C50:Z50,1, (COLUMN()-2-B52)),0)*(1-B51))/(B53+1),"")</f>
        <v/>
      </c>
      <c r="M52" s="50" t="str">
        <f>IF(IF((COLUMN()-2-B52)&gt;0,INDEX(C50:Z50,1, (COLUMN()-2-B52)),0)&gt;=1,(B50* IF((COLUMN()-2-B52)&gt;0,INDEX(C50:Z50,1, (COLUMN()-2-B52)),0)*(1-B51))/(B53+1),"")</f>
        <v/>
      </c>
      <c r="N52" s="50" t="str">
        <f>IF(IF((COLUMN()-2-B52)&gt;0,INDEX(C50:Z50,1, (COLUMN()-2-B52)),0)&gt;=1,(B50* IF((COLUMN()-2-B52)&gt;0,INDEX(C50:Z50,1, (COLUMN()-2-B52)),0)*(1-B51))/(B53+1),"")</f>
        <v/>
      </c>
      <c r="O52" s="72" t="str">
        <f>IF(IF((COLUMN()-2-B52)&gt;0,INDEX(C50:Z50,1, (COLUMN()-2-B52)),0)&gt;=1,(B50* IF((COLUMN()-2-B52)&gt;0,INDEX(C50:Z50,1, (COLUMN()-2-B52)),0)*(1-B51))/(B53+1),"")</f>
        <v/>
      </c>
      <c r="P52" s="72" t="str">
        <f>IF(IF((COLUMN()-2-B52)&gt;0,INDEX(C50:Z50,1, (COLUMN()-2-B52)),0)&gt;=1,(B50* IF((COLUMN()-2-B52)&gt;0,INDEX(C50:Z50,1, (COLUMN()-2-B52)),0)*(1-B51))/(B53+1),"")</f>
        <v/>
      </c>
      <c r="Q52" s="72" t="str">
        <f>IF(IF((COLUMN()-2-B52)&gt;0,INDEX(C50:Z50,1, (COLUMN()-2-B52)),0)&gt;=1,(B50* IF((COLUMN()-2-B52)&gt;0,INDEX(C50:Z50,1, (COLUMN()-2-B52)),0)*(1-B51))/(B53+1),"")</f>
        <v/>
      </c>
      <c r="R52" s="72" t="str">
        <f>IF(IF((COLUMN()-2-B52)&gt;0,INDEX(C50:Z50,1, (COLUMN()-2-B52)),0)&gt;=1,(B50* IF((COLUMN()-2-B52)&gt;0,INDEX(C50:Z50,1, (COLUMN()-2-B52)),0)*(1-B51))/(B53+1),"")</f>
        <v/>
      </c>
      <c r="S52" s="72" t="str">
        <f>IF(IF((COLUMN()-2-B52)&gt;0,INDEX(C50:Z50,1, (COLUMN()-2-B52)),0)&gt;=1,(B50* IF((COLUMN()-2-B52)&gt;0,INDEX(C50:Z50,1, (COLUMN()-2-B52)),0)*(1-B51))/(B53+1),"")</f>
        <v/>
      </c>
      <c r="T52" s="72" t="str">
        <f>IF(IF((COLUMN()-2-B52)&gt;0,INDEX(C50:Z50,1, (COLUMN()-2-B52)),0)&gt;=1,(B50* IF((COLUMN()-2-B52)&gt;0,INDEX(C50:Z50,1, (COLUMN()-2-B52)),0)*(1-B51))/(B53+1),"")</f>
        <v/>
      </c>
      <c r="U52" s="72" t="str">
        <f>IF(IF((COLUMN()-2-B52)&gt;0,INDEX(C50:Z50,1, (COLUMN()-2-B52)),0)&gt;=1,(B50* IF((COLUMN()-2-B52)&gt;0,INDEX(C50:Z50,1, (COLUMN()-2-B52)),0)*(1-B51))/(B53+1),"")</f>
        <v/>
      </c>
      <c r="V52" s="72" t="str">
        <f>IF(IF((COLUMN()-2-B52)&gt;0,INDEX(C50:Z50,1, (COLUMN()-2-B52)),0)&gt;=1,(B50* IF((COLUMN()-2-B52)&gt;0,INDEX(C50:Z50,1, (COLUMN()-2-B52)),0)*(1-B51))/(B53+1),"")</f>
        <v/>
      </c>
      <c r="W52" s="72" t="str">
        <f>IF(IF((COLUMN()-2-B52)&gt;0,INDEX(C50:Z50,1, (COLUMN()-2-B52)),0)&gt;=1,(B50* IF((COLUMN()-2-B52)&gt;0,INDEX(C50:Z50,1, (COLUMN()-2-B52)),0)*(1-B51))/(B53+1),"")</f>
        <v/>
      </c>
      <c r="X52" s="72" t="str">
        <f>IF(IF((COLUMN()-2-B52)&gt;0,INDEX(C50:Z50,1, (COLUMN()-2-B52)),0)&gt;=1,(B50* IF((COLUMN()-2-B52)&gt;0,INDEX(C50:Z50,1, (COLUMN()-2-B52)),0)*(1-B51))/(B53+1),"")</f>
        <v/>
      </c>
      <c r="Y52" s="72" t="str">
        <f>IF(IF((COLUMN()-2-B52)&gt;0,INDEX(C50:Z50,1, (COLUMN()-2-B52)),0)&gt;=1,(B50* IF((COLUMN()-2-B52)&gt;0,INDEX(C50:Z50,1, (COLUMN()-2-B52)),0)*(1-B51))/(B53+1),"")</f>
        <v/>
      </c>
      <c r="Z52" s="91" t="str">
        <f>IF(IF((COLUMN()-2-B52)&gt;0,INDEX(C50:Z50,1, (COLUMN()-2-B52)),0)&gt;=1,(B50* IF((COLUMN()-2-B52)&gt;0,INDEX(C50:Z50,1, (COLUMN()-2-B52)),0)*(1-B51))/(B53+1),"")</f>
        <v/>
      </c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1"/>
    </row>
    <row r="53" spans="1:38">
      <c r="A53" s="90" t="s">
        <v>82</v>
      </c>
      <c r="B53" s="53"/>
      <c r="C53" s="91"/>
      <c r="D53" s="50" t="str">
        <f>IF(SUM(D54),SUM(D54),"")</f>
        <v/>
      </c>
      <c r="E53" s="50" t="str">
        <f>IF(SUM(E54:E55),SUM(E54:E55),"")</f>
        <v/>
      </c>
      <c r="F53" s="50" t="str">
        <f>IF(SUM(F54:F56),SUM(F54:F56),"")</f>
        <v/>
      </c>
      <c r="G53" s="50" t="str">
        <f>IF(SUM(G54:G57),SUM(G54:G57),"")</f>
        <v/>
      </c>
      <c r="H53" s="50" t="str">
        <f>IF(SUM(H54:H58),SUM(H54:H58),"")</f>
        <v/>
      </c>
      <c r="I53" s="50" t="str">
        <f>IF(SUM(I54:I59),SUM(I54:I59),"")</f>
        <v/>
      </c>
      <c r="J53" s="50" t="str">
        <f>IF(SUM(J54:J60),SUM(J54:J60),"")</f>
        <v/>
      </c>
      <c r="K53" s="50" t="str">
        <f>IF(SUM(K54:K61),SUM(K54:K61),"")</f>
        <v/>
      </c>
      <c r="L53" s="50" t="str">
        <f>IF(SUM(L54:L62),SUM(L54:L62),"")</f>
        <v/>
      </c>
      <c r="M53" s="50" t="str">
        <f>IF(SUM(M54:M63),SUM(M54:M63),"")</f>
        <v/>
      </c>
      <c r="N53" s="50" t="str">
        <f>IF(SUM(N54:N64),SUM(N54:N64),"")</f>
        <v/>
      </c>
      <c r="O53" s="72" t="str">
        <f t="shared" ref="O53:Z53" si="14">IF(SUM(O54:O65),SUM(O54:O65),"")</f>
        <v/>
      </c>
      <c r="P53" s="72" t="str">
        <f t="shared" si="14"/>
        <v/>
      </c>
      <c r="Q53" s="72" t="str">
        <f t="shared" si="14"/>
        <v/>
      </c>
      <c r="R53" s="72" t="str">
        <f t="shared" si="14"/>
        <v/>
      </c>
      <c r="S53" s="72" t="str">
        <f t="shared" si="14"/>
        <v/>
      </c>
      <c r="T53" s="72" t="str">
        <f t="shared" si="14"/>
        <v/>
      </c>
      <c r="U53" s="72" t="str">
        <f t="shared" si="14"/>
        <v/>
      </c>
      <c r="V53" s="72" t="str">
        <f t="shared" si="14"/>
        <v/>
      </c>
      <c r="W53" s="72" t="str">
        <f t="shared" si="14"/>
        <v/>
      </c>
      <c r="X53" s="72" t="str">
        <f t="shared" si="14"/>
        <v/>
      </c>
      <c r="Y53" s="72" t="str">
        <f t="shared" si="14"/>
        <v/>
      </c>
      <c r="Z53" s="72" t="str">
        <f t="shared" si="14"/>
        <v/>
      </c>
      <c r="AA53" s="74" t="str">
        <f>IF(SUM(AA56:AA65),SUM(AA56:AA65),"")</f>
        <v/>
      </c>
      <c r="AB53" s="74" t="str">
        <f>IF(SUM(AB57:AB65),SUM(AB57:AB65),"")</f>
        <v/>
      </c>
      <c r="AC53" s="74" t="str">
        <f>IF(SUM(AC58:AC65),SUM(AC58:AC65),"")</f>
        <v/>
      </c>
      <c r="AD53" s="74" t="str">
        <f>IF(SUM(AD59:AD65),SUM(AD59:AD65),"")</f>
        <v/>
      </c>
      <c r="AE53" s="74" t="str">
        <f>IF(SUM(AE60:AE65),SUM(AE60:AE65),"")</f>
        <v/>
      </c>
      <c r="AF53" s="74" t="str">
        <f>IF(SUM(AF61:AF65),SUM(AF61:AF65),"")</f>
        <v/>
      </c>
      <c r="AG53" s="74" t="str">
        <f>IF(SUM(AG62:AG65),SUM(AG62:AG65),"")</f>
        <v/>
      </c>
      <c r="AH53" s="74" t="str">
        <f>IF(SUM(AH63:AH65),SUM(AH63:AH65),"")</f>
        <v/>
      </c>
      <c r="AI53" s="74" t="str">
        <f>IF(SUM(AI64:AI65),SUM(AI64:AI65),"")</f>
        <v/>
      </c>
      <c r="AJ53" s="74" t="str">
        <f>IF(SUM(AJ65),SUM(AJ65),"")</f>
        <v/>
      </c>
      <c r="AK53" s="1"/>
      <c r="AL53" s="1"/>
    </row>
    <row r="54" spans="1:38" hidden="1">
      <c r="A54" s="90" t="s">
        <v>83</v>
      </c>
      <c r="B54" s="51">
        <f>IF('Reverse Engineering Valuation'!F29,'Reverse Engineering Valuation'!H29,'Reverse Engineering Valuation'!E29)</f>
        <v>800.00000000000011</v>
      </c>
      <c r="C54" s="91"/>
      <c r="D54" s="50" t="str">
        <f>IF(OR(NOT(C50),(COLUMN()-3)-(B52+1)&lt;0,(B52+1+B53) - (COLUMN()-2) &lt;0),"",C50*(1-B51)/(B53+1)*B50)</f>
        <v/>
      </c>
      <c r="E54" s="50" t="str">
        <f>IF(OR(NOT(C50),(COLUMN()-3)-(B52+1)&lt;0,(B52+1+B53) - (COLUMN()-2) &lt;0),"",C50*(1-B51)/(B53+1)*B50)</f>
        <v/>
      </c>
      <c r="F54" s="50" t="str">
        <f>IF(OR(NOT(C50),(COLUMN()-3)-(B52+1)&lt;0,(B52+1+B53) - (COLUMN()-2) &lt;0),"",C50*(1-B51)/(B53+1)*B50)</f>
        <v/>
      </c>
      <c r="G54" s="50" t="str">
        <f>IF(OR(NOT(C50),(COLUMN()-3)-(B52+1)&lt;0,(B52+1+B53) - (COLUMN()-2) &lt;0),"",C50*(1-B51)/(B53+1)*B50)</f>
        <v/>
      </c>
      <c r="H54" s="50" t="str">
        <f>IF(OR(NOT(C50),(COLUMN()-3)-(B52+1)&lt;0,(B52+1+B53) - (COLUMN()-2) &lt;0),"",C50*(1-B51)/(B53+1)*B50)</f>
        <v/>
      </c>
      <c r="I54" s="50" t="str">
        <f>IF(OR(NOT(C50),(COLUMN()-3)-(B52+1)&lt;0,(B52+1+B53) - (COLUMN()-2) &lt;0),"",C50*(1-B51)/(B53+1)*B50)</f>
        <v/>
      </c>
      <c r="J54" s="50" t="str">
        <f>IF(OR(NOT(C50),(COLUMN()-3)-(B52+1)&lt;0,(B52+1+B53) - (COLUMN()-2) &lt;0),"",C50*(1-B51)/(B53+1)*B50)</f>
        <v/>
      </c>
      <c r="K54" s="50" t="str">
        <f>IF(OR(NOT(C50),(COLUMN()-3)-(B52+1)&lt;0,(B52+1+B53) - (COLUMN()-2) &lt;0),"",C50*(1-B51)/(B53+1)*B50)</f>
        <v/>
      </c>
      <c r="L54" s="50" t="str">
        <f>IF(OR(NOT(C50),(COLUMN()-3)-(B52+1)&lt;0,(B52+1+B53) - (COLUMN()-2) &lt;0),"",C50*(1-B51)/(B53+1)*B50)</f>
        <v/>
      </c>
      <c r="M54" s="50" t="str">
        <f>IF(OR(NOT(C50),(COLUMN()-3)-(B52+1)&lt;0,(B52+1+B53) - (COLUMN()-2) &lt;0),"",C50*(1-B51)/(B53+1)*B50)</f>
        <v/>
      </c>
      <c r="N54" s="50" t="str">
        <f>IF(OR(NOT(C50),(COLUMN()-3)-(B52+1)&lt;0,(B52+1+B53) - (COLUMN()-2) &lt;0),"",C50*(1-B51)/(B53+1)*B50)</f>
        <v/>
      </c>
      <c r="O54" s="72" t="str">
        <f>IF(OR(NOT(C50),(COLUMN()-3)-(B52+1)&lt;0,(B52+1+B53) - (COLUMN()-2) &lt;0),"",C50*(1-B51)/(B53+1)*B50)</f>
        <v/>
      </c>
      <c r="P54" s="72" t="str">
        <f>IF(OR(NOT(C50),(COLUMN()-3)-(B52+1)&lt;0,(B52+1+B53) - (COLUMN()-2) &lt;0),"",C50*(1-B51)/(B53+1)*B50)</f>
        <v/>
      </c>
      <c r="Q54" s="72" t="str">
        <f>IF(OR(NOT(C50),(COLUMN()-3)-(B52+1)&lt;0,(B52+1+B53) - (COLUMN()-2) &lt;0),"",C50*(1-B51)/(B53+1)*B50)</f>
        <v/>
      </c>
      <c r="R54" s="72" t="str">
        <f>IF(OR(NOT(C50),(COLUMN()-3)-(B52+1)&lt;0,(B52+1+B53) - (COLUMN()-2) &lt;0),"",C50*(1-B51)/(B53+1)*B50)</f>
        <v/>
      </c>
      <c r="S54" s="72" t="str">
        <f>IF(OR(NOT(C50),(COLUMN()-3)-(B52+1)&lt;0,(B52+1+B53) - (COLUMN()-2) &lt;0),"",C50*(1-B51)/(B53+1)*B50)</f>
        <v/>
      </c>
      <c r="T54" s="72" t="str">
        <f>IF(OR(NOT(C50),(COLUMN()-3)-(B52+1)&lt;0,(B52+1+B53) - (COLUMN()-2) &lt;0),"",C50*(1-B51)/(B53+1)*B50)</f>
        <v/>
      </c>
      <c r="U54" s="72" t="str">
        <f>IF(OR(NOT(C50),(COLUMN()-3)-(B52+1)&lt;0,(B52+1+B53) - (COLUMN()-2) &lt;0),"",C50*(1-B51)/(B53+1)*B50)</f>
        <v/>
      </c>
      <c r="V54" s="72" t="str">
        <f>IF(OR(NOT(C50),(COLUMN()-3)-(B52+1)&lt;0,(B52+1+B53) - (COLUMN()-2) &lt;0),"",C50*(1-B51)/(B53+1)*B50)</f>
        <v/>
      </c>
      <c r="W54" s="72" t="str">
        <f>IF(OR(NOT(C50),(COLUMN()-3)-(B52+1)&lt;0,(B52+1+B53) - (COLUMN()-2) &lt;0),"",C50*(1-B51)/(B53+1)*B50)</f>
        <v/>
      </c>
      <c r="X54" s="72" t="str">
        <f>IF(OR(NOT(C50),(COLUMN()-3)-(B52+1)&lt;0,(B52+1+B53) - (COLUMN()-2) &lt;0),"",C50*(1-B51)/(B53+1)*B50)</f>
        <v/>
      </c>
      <c r="Y54" s="72" t="str">
        <f>IF(OR(NOT(C50),(COLUMN()-3)-(B52+1)&lt;0,(B52+1+B53) - (COLUMN()-2) &lt;0),"",C50*(1-B51)/(B53+1)*B50)</f>
        <v/>
      </c>
      <c r="Z54" s="72" t="str">
        <f>IF(OR(NOT(C50),(COLUMN()-3)-(B52+1)&lt;0,(B52+1+B53) - (COLUMN()-2) &lt;0),"",C50*(1-B51)/(B53+1)*B50)</f>
        <v/>
      </c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1"/>
    </row>
    <row r="55" spans="1:38" hidden="1">
      <c r="A55" s="90" t="s">
        <v>84</v>
      </c>
      <c r="B55" s="54">
        <f>B54-SUM(C50:N50)</f>
        <v>800.00000000000011</v>
      </c>
      <c r="C55" s="91"/>
      <c r="D55" s="91"/>
      <c r="E55" s="50" t="str">
        <f>IF(OR(NOT(D50),(COLUMN()-3)-(B52+2)&lt;0,(B52+2 +B53) - (COLUMN()-2) &lt;0),"",D50*(1-B51)/(B53+1)*B50)</f>
        <v/>
      </c>
      <c r="F55" s="50" t="str">
        <f>IF(OR(NOT(D50),(COLUMN()-3)-(B52+2)&lt;0,(B52+2 +B53) - (COLUMN()-2) &lt;0),"",D50*(1-B51)/(B53+1)*B50)</f>
        <v/>
      </c>
      <c r="G55" s="50" t="str">
        <f>IF(OR(NOT(D50),(COLUMN()-3)-(B52+2)&lt;0,(B52+2 +B53) - (COLUMN()-2) &lt;0),"",D50*(1-B51)/(B53+1)*B50)</f>
        <v/>
      </c>
      <c r="H55" s="50" t="str">
        <f>IF(OR(NOT(D50),(COLUMN()-3)-(B52+2)&lt;0,(B52+2 +B53) - (COLUMN()-2) &lt;0),"",D50*(1-B51)/(B53+1)*B50)</f>
        <v/>
      </c>
      <c r="I55" s="50" t="str">
        <f>IF(OR(NOT(D50),(COLUMN()-3)-(B52+2)&lt;0,(B52+2 +B53) - (COLUMN()-2) &lt;0),"",D50*(1-B51)/(B53+1)*B50)</f>
        <v/>
      </c>
      <c r="J55" s="50" t="str">
        <f>IF(OR(NOT(D50),(COLUMN()-3)-(B52+2)&lt;0,(B52+2 +B53) - (COLUMN()-2) &lt;0),"",D50*(1-B51)/(B53+1)*B50)</f>
        <v/>
      </c>
      <c r="K55" s="50" t="str">
        <f>IF(OR(NOT(D50),(COLUMN()-3)-(B52+2)&lt;0,(B52+2 +B53) - (COLUMN()-2) &lt;0),"",D50*(1-B51)/(B53+1)*B50)</f>
        <v/>
      </c>
      <c r="L55" s="50" t="str">
        <f>IF(OR(NOT(D50),(COLUMN()-3)-(B52+2)&lt;0,(B52+2 +B53) - (COLUMN()-2) &lt;0),"",D50*(1-B51)/(B53+1)*B50)</f>
        <v/>
      </c>
      <c r="M55" s="50" t="str">
        <f>IF(OR(NOT(D50),(COLUMN()-3)-(B52+2)&lt;0,(B52+2 +B53) - (COLUMN()-2) &lt;0),"",D50*(1-B51)/(B53+1)*B50)</f>
        <v/>
      </c>
      <c r="N55" s="50" t="str">
        <f>IF(OR(NOT(D50),(COLUMN()-3)-(B52+2)&lt;0,(B52+2 +B53) - (COLUMN()-2) &lt;0),"",D50*(1-B51)/(B53+1)*B50)</f>
        <v/>
      </c>
      <c r="O55" s="72" t="str">
        <f>IF(OR(NOT(D50),(COLUMN()-3)-(B52+2)&lt;0,(B52+2 +B53) - (COLUMN()-2) &lt;0),"",D50*(1-B51)/(B53+1)*B50)</f>
        <v/>
      </c>
      <c r="P55" s="72" t="str">
        <f>IF(OR(NOT(D50),(COLUMN()-3)-(B52+2)&lt;0,(B52+2 +B53) - (COLUMN()-2) &lt;0),"",D50*(1-B51)/(B53+1)*B50)</f>
        <v/>
      </c>
      <c r="Q55" s="72" t="str">
        <f>IF(OR(NOT(D50),(COLUMN()-3)-(B52+2)&lt;0,(B52+2 +B53) - (COLUMN()-2) &lt;0),"",D50*(1-B51)/(B53+1)*B50)</f>
        <v/>
      </c>
      <c r="R55" s="72" t="str">
        <f>IF(OR(NOT(D50),(COLUMN()-3)-(B52+2)&lt;0,(B52+2 +B53) - (COLUMN()-2) &lt;0),"",D50*(1-B51)/(B53+1)*B50)</f>
        <v/>
      </c>
      <c r="S55" s="72" t="str">
        <f>IF(OR(NOT(D50),(COLUMN()-3)-(B52+2)&lt;0,(B52+2 +B53) - (COLUMN()-2) &lt;0),"",D50*(1-B51)/(B53+1)*B50)</f>
        <v/>
      </c>
      <c r="T55" s="72" t="str">
        <f>IF(OR(NOT(D50),(COLUMN()-3)-(B52+2)&lt;0,(B52+2 +B53) - (COLUMN()-2) &lt;0),"",D50*(1-B51)/(B53+1)*B50)</f>
        <v/>
      </c>
      <c r="U55" s="72" t="str">
        <f>IF(OR(NOT(D50),(COLUMN()-3)-(B52+2)&lt;0,(B52+2 +B53) - (COLUMN()-2) &lt;0),"",D50*(1-B51)/(B53+1)*B50)</f>
        <v/>
      </c>
      <c r="V55" s="72" t="str">
        <f>IF(OR(NOT(D50),(COLUMN()-3)-(B52+2)&lt;0,(B52+2 +B53) - (COLUMN()-2) &lt;0),"",D50*(1-B51)/(B53+1)*B50)</f>
        <v/>
      </c>
      <c r="W55" s="72" t="str">
        <f>IF(OR(NOT(D50),(COLUMN()-3)-(B52+2)&lt;0,(B52+2 +B53) - (COLUMN()-2) &lt;0),"",D50*(1-B51)/(B53+1)*B50)</f>
        <v/>
      </c>
      <c r="X55" s="72" t="str">
        <f>IF(OR(NOT(D50),(COLUMN()-3)-(B52+2)&lt;0,(B52+2 +B53) - (COLUMN()-2) &lt;0),"",D50*(1-B51)/(B53+1)*B50)</f>
        <v/>
      </c>
      <c r="Y55" s="72" t="str">
        <f>IF(OR(NOT(D50),(COLUMN()-3)-(B52+2)&lt;0,(B52+2 +B53) - (COLUMN()-2) &lt;0),"",D50*(1-B51)/(B53+1)*B50)</f>
        <v/>
      </c>
      <c r="Z55" s="72" t="str">
        <f>IF(OR(NOT(D50),(COLUMN()-3)-(B52+2)&lt;0,(B52+2 +B53) - (COLUMN()-2) &lt;0),"",D50*(1-B51)/(B53+1)*B50)</f>
        <v/>
      </c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1"/>
    </row>
    <row r="56" spans="1:38" hidden="1">
      <c r="A56" s="91"/>
      <c r="B56" s="91"/>
      <c r="C56" s="91"/>
      <c r="D56" s="91"/>
      <c r="E56" s="91"/>
      <c r="F56" s="50" t="str">
        <f>IF(OR(NOT(E50),(COLUMN()-3)-(B52+3)&lt;0,(B52+3+B53) - (COLUMN()-2) &lt;0),"",E50*(1-B51)/(B53+1)*B50)</f>
        <v/>
      </c>
      <c r="G56" s="50" t="str">
        <f>IF(OR(NOT(E50),(COLUMN()-3)-(B52+3)&lt;0,(B52+3+B53) - (COLUMN()-2) &lt;0),"",E50*(1-B51)/(B53+1)*B50)</f>
        <v/>
      </c>
      <c r="H56" s="50" t="str">
        <f>IF(OR(NOT(E50),(COLUMN()-3)-(B52+3)&lt;0,(B52+3+B53) - (COLUMN()-2) &lt;0),"",E50*(1-B51)/(B53+1)*B50)</f>
        <v/>
      </c>
      <c r="I56" s="50" t="str">
        <f>IF(OR(NOT(E50),(COLUMN()-3)-(B52+3)&lt;0,(B52+3+B53) - (COLUMN()-2) &lt;0),"",E50*(1-B51)/(B53+1)*B50)</f>
        <v/>
      </c>
      <c r="J56" s="50" t="str">
        <f>IF(OR(NOT(E50),(COLUMN()-3)-(B52+3)&lt;0,(B52+3+B53) - (COLUMN()-2) &lt;0),"",E50*(1-B51)/(B53+1)*B50)</f>
        <v/>
      </c>
      <c r="K56" s="50" t="str">
        <f>IF(OR(NOT(E50),(COLUMN()-3)-(B52+3)&lt;0,(B52+3+B53) - (COLUMN()-2) &lt;0),"",E50*(1-B51)/(B53+1)*B50)</f>
        <v/>
      </c>
      <c r="L56" s="50" t="str">
        <f>IF(OR(NOT(E50),(COLUMN()-3)-(B52+3)&lt;0,(B52+3+B53) - (COLUMN()-2) &lt;0),"",E50*(1-B51)/(B53+1)*B50)</f>
        <v/>
      </c>
      <c r="M56" s="50" t="str">
        <f>IF(OR(NOT(E50),(COLUMN()-3)-(B52+3)&lt;0,(B52+3+B53) - (COLUMN()-2) &lt;0),"",E50*(1-B51)/(B53+1)*B50)</f>
        <v/>
      </c>
      <c r="N56" s="50" t="str">
        <f>IF(OR(NOT(E50),(COLUMN()-3)-(B52+3)&lt;0,(B52+3+B53) - (COLUMN()-2) &lt;0),"",E50*(1-B51)/(B53+1)*B50)</f>
        <v/>
      </c>
      <c r="O56" s="72" t="str">
        <f>IF(OR(NOT(E50),(COLUMN()-3)-(B52+3)&lt;0,(B52+3+B53) - (COLUMN()-2) &lt;0),"",E50*(1-B51)/(B53+1)*B50)</f>
        <v/>
      </c>
      <c r="P56" s="72" t="str">
        <f>IF(OR(NOT(E50),(COLUMN()-3)-(B52+3)&lt;0,(B52+3+B53) - (COLUMN()-2) &lt;0),"",E50*(1-B51)/(B53+1)*B50)</f>
        <v/>
      </c>
      <c r="Q56" s="72" t="str">
        <f>IF(OR(NOT(E50),(COLUMN()-3)-(B52+3)&lt;0,(B52+3+B53) - (COLUMN()-2) &lt;0),"",E50*(1-B51)/(B53+1)*B50)</f>
        <v/>
      </c>
      <c r="R56" s="72" t="str">
        <f>IF(OR(NOT(E50),(COLUMN()-3)-(B52+3)&lt;0,(B52+3+B53) - (COLUMN()-2) &lt;0),"",E50*(1-B51)/(B53+1)*B50)</f>
        <v/>
      </c>
      <c r="S56" s="72" t="str">
        <f>IF(OR(NOT(E50),(COLUMN()-3)-(B52+3)&lt;0,(B52+3+B53) - (COLUMN()-2) &lt;0),"",E50*(1-B51)/(B53+1)*B50)</f>
        <v/>
      </c>
      <c r="T56" s="72" t="str">
        <f>IF(OR(NOT(E50),(COLUMN()-3)-(B52+3)&lt;0,(B52+3+B53) - (COLUMN()-2) &lt;0),"",E50*(1-B51)/(B53+1)*B50)</f>
        <v/>
      </c>
      <c r="U56" s="72" t="str">
        <f>IF(OR(NOT(E50),(COLUMN()-3)-(B52+3)&lt;0,(B52+3+B53) - (COLUMN()-2) &lt;0),"",E50*(1-B51)/(B53+1)*B50)</f>
        <v/>
      </c>
      <c r="V56" s="72" t="str">
        <f>IF(OR(NOT(E50),(COLUMN()-3)-(B52+3)&lt;0,(B52+3+B53) - (COLUMN()-2) &lt;0),"",E50*(1-B51)/(B53+1)*B50)</f>
        <v/>
      </c>
      <c r="W56" s="72" t="str">
        <f>IF(OR(NOT(E50),(COLUMN()-3)-(B52+3)&lt;0,(B52+3+B53) - (COLUMN()-2) &lt;0),"",E50*(1-B51)/(B53+1)*B50)</f>
        <v/>
      </c>
      <c r="X56" s="72" t="str">
        <f>IF(OR(NOT(E50),(COLUMN()-3)-(B52+3)&lt;0,(B52+3+B53) - (COLUMN()-2) &lt;0),"",E50*(1-B51)/(B53+1)*B50)</f>
        <v/>
      </c>
      <c r="Y56" s="72" t="str">
        <f>IF(OR(NOT(E50),(COLUMN()-3)-(B52+3)&lt;0,(B52+3+B53) - (COLUMN()-2) &lt;0),"",E50*(1-B51)/(B53+1)*B50)</f>
        <v/>
      </c>
      <c r="Z56" s="72" t="str">
        <f>IF(OR(NOT(E50),(COLUMN()-3)-(B52+3)&lt;0,(B52+3+B53) - (COLUMN()-2) &lt;0),"",E50*(1-B51)/(B53+1)*B50)</f>
        <v/>
      </c>
      <c r="AA56" s="74" t="str">
        <f>IF(OR(NOT(E50),(COLUMN()-3)-(B52+3)&lt;0,(B52+3+B53) - (COLUMN()-2) &lt;0),"",E50*(1-B51)/(B53+1)*B50)</f>
        <v/>
      </c>
      <c r="AB56" s="91"/>
      <c r="AC56" s="91"/>
      <c r="AD56" s="91"/>
      <c r="AE56" s="91"/>
      <c r="AF56" s="91"/>
      <c r="AG56" s="91"/>
      <c r="AH56" s="91"/>
      <c r="AI56" s="91"/>
      <c r="AJ56" s="91"/>
    </row>
    <row r="57" spans="1:38" hidden="1">
      <c r="A57" s="91"/>
      <c r="B57" s="91"/>
      <c r="C57" s="91"/>
      <c r="D57" s="91"/>
      <c r="E57" s="91"/>
      <c r="F57" s="91"/>
      <c r="G57" s="50" t="str">
        <f>IF(OR(NOT(F50),(COLUMN()-3)-(B52+4)&lt;0,(B52+4+B53) - (COLUMN()-2) &lt;0),"",F50*(1-B51)/(B53+1)*B50)</f>
        <v/>
      </c>
      <c r="H57" s="50" t="str">
        <f>IF(OR(NOT(F50),(COLUMN()-3)-(B52+4)&lt;0,(B52+4+B53) - (COLUMN()-2) &lt;0),"",F50*(1-B51)/(B53+1)*B50)</f>
        <v/>
      </c>
      <c r="I57" s="50" t="str">
        <f>IF(OR(NOT(F50),(COLUMN()-3)-(B52+4)&lt;0,(B52+4+B53) - (COLUMN()-2) &lt;0),"",F50*(1-B51)/(B53+1)*B50)</f>
        <v/>
      </c>
      <c r="J57" s="50" t="str">
        <f>IF(OR(NOT(F50),(COLUMN()-3)-(B52+4)&lt;0,(B52+4+B53) - (COLUMN()-2) &lt;0),"",F50*(1-B51)/(B53+1)*B50)</f>
        <v/>
      </c>
      <c r="K57" s="50" t="str">
        <f>IF(OR(NOT(F50),(COLUMN()-3)-(B52+4)&lt;0,(B52+4+B53) - (COLUMN()-2) &lt;0),"",F50*(1-B51)/(B53+1)*B50)</f>
        <v/>
      </c>
      <c r="L57" s="50" t="str">
        <f>IF(OR(NOT(F50),(COLUMN()-3)-(B52+4)&lt;0,(B52+4+B53) - (COLUMN()-2) &lt;0),"",F50*(1-B51)/(B53+1)*B50)</f>
        <v/>
      </c>
      <c r="M57" s="50" t="str">
        <f>IF(OR(NOT(F50),(COLUMN()-3)-(B52+4)&lt;0,(B52+4+B53) - (COLUMN()-2) &lt;0),"",F50*(1-B51)/(B53+1)*B50)</f>
        <v/>
      </c>
      <c r="N57" s="50" t="str">
        <f>IF(OR(NOT(F50),(COLUMN()-3)-(B52+4)&lt;0,(B52+4+B53) - (COLUMN()-2) &lt;0),"",F50*(1-B51)/(B53+1)*B50)</f>
        <v/>
      </c>
      <c r="O57" s="72" t="str">
        <f>IF(OR(NOT(F50),(COLUMN()-3)-(B52+4)&lt;0,(B52+4+B53) - (COLUMN()-2) &lt;0),"",F50*(1-B51)/(B53+1)*B50)</f>
        <v/>
      </c>
      <c r="P57" s="72" t="str">
        <f>IF(OR(NOT(F50),(COLUMN()-3)-(B52+4)&lt;0,(B52+4+B53) - (COLUMN()-2) &lt;0),"",F50*(1-B51)/(B53+1)*B50)</f>
        <v/>
      </c>
      <c r="Q57" s="72" t="str">
        <f>IF(OR(NOT(F50),(COLUMN()-3)-(B52+4)&lt;0,(B52+4+B53) - (COLUMN()-2) &lt;0),"",F50*(1-B51)/(B53+1)*B50)</f>
        <v/>
      </c>
      <c r="R57" s="72" t="str">
        <f>IF(OR(NOT(F50),(COLUMN()-3)-(B52+4)&lt;0,(B52+4+B53) - (COLUMN()-2) &lt;0),"",F50*(1-B51)/(B53+1)*B50)</f>
        <v/>
      </c>
      <c r="S57" s="72" t="str">
        <f>IF(OR(NOT(F50),(COLUMN()-3)-(B52+4)&lt;0,(B52+4+B53) - (COLUMN()-2) &lt;0),"",F50*(1-B51)/(B53+1)*B50)</f>
        <v/>
      </c>
      <c r="T57" s="72" t="str">
        <f>IF(OR(NOT(F50),(COLUMN()-3)-(B52+4)&lt;0,(B52+4+B53) - (COLUMN()-2) &lt;0),"",F50*(1-B51)/(B53+1)*B50)</f>
        <v/>
      </c>
      <c r="U57" s="72" t="str">
        <f>IF(OR(NOT(F50),(COLUMN()-3)-(B52+4)&lt;0,(B52+4+B53) - (COLUMN()-2) &lt;0),"",F50*(1-B51)/(B53+1)*B50)</f>
        <v/>
      </c>
      <c r="V57" s="72" t="str">
        <f>IF(OR(NOT(F50),(COLUMN()-3)-(B52+4)&lt;0,(B52+4+B53) - (COLUMN()-2) &lt;0),"",F50*(1-B51)/(B53+1)*B50)</f>
        <v/>
      </c>
      <c r="W57" s="72" t="str">
        <f>IF(OR(NOT(F50),(COLUMN()-3)-(B52+4)&lt;0,(B52+4+B53) - (COLUMN()-2) &lt;0),"",F50*(1-B51)/(B53+1)*B50)</f>
        <v/>
      </c>
      <c r="X57" s="72" t="str">
        <f>IF(OR(NOT(F50),(COLUMN()-3)-(B52+4)&lt;0,(B52+4+B53) - (COLUMN()-2) &lt;0),"",F50*(1-B51)/(B53+1)*B50)</f>
        <v/>
      </c>
      <c r="Y57" s="72" t="str">
        <f>IF(OR(NOT(F50),(COLUMN()-3)-(B52+4)&lt;0,(B52+4+B53) - (COLUMN()-2) &lt;0),"",F50*(1-B51)/(B53+1)*B50)</f>
        <v/>
      </c>
      <c r="Z57" s="72" t="str">
        <f>IF(OR(NOT(F50),(COLUMN()-3)-(B52+4)&lt;0,(B52+4+B53) - (COLUMN()-2) &lt;0),"",F50*(1-B51)/(B53+1)*B50)</f>
        <v/>
      </c>
      <c r="AA57" s="74" t="str">
        <f>IF(OR(NOT(F50),(COLUMN()-3)-(B52+4)&lt;0,(B52+4+B53) - (COLUMN()-2) &lt;0),"",F50*(1-B51)/(B53+1)*B50)</f>
        <v/>
      </c>
      <c r="AB57" s="74" t="str">
        <f>IF(OR(NOT(F50),(COLUMN()-3)-(B52+4)&lt;0,(B52+4+B53) - (COLUMN()-2) &lt;0),"",F50*(1-B51)/(B53+1)*B50)</f>
        <v/>
      </c>
      <c r="AC57" s="91"/>
      <c r="AD57" s="91"/>
      <c r="AE57" s="91"/>
      <c r="AF57" s="91"/>
      <c r="AG57" s="91"/>
      <c r="AH57" s="91"/>
      <c r="AI57" s="91"/>
      <c r="AJ57" s="91"/>
    </row>
    <row r="58" spans="1:38" hidden="1">
      <c r="A58" s="91"/>
      <c r="B58" s="91"/>
      <c r="C58" s="91"/>
      <c r="D58" s="91"/>
      <c r="E58" s="91"/>
      <c r="F58" s="91"/>
      <c r="G58" s="91"/>
      <c r="H58" s="50" t="str">
        <f>IF(OR(NOT(G50),(COLUMN()-3)-(B52+5)&lt;0,(B52+5+B53) - (COLUMN()-2) &lt;0),"",G50*(1-B51)/(B53+1)*B50)</f>
        <v/>
      </c>
      <c r="I58" s="50" t="str">
        <f>IF(OR(NOT(G50),(COLUMN()-3)-(B52+5)&lt;0,(B52+5+B53) - (COLUMN()-2) &lt;0),"",G50*(1-B51)/(B53+1)*B50)</f>
        <v/>
      </c>
      <c r="J58" s="50" t="str">
        <f>IF(OR(NOT(G50),(COLUMN()-3)-(B52+5)&lt;0,(B52+5+B53) - (COLUMN()-2) &lt;0),"",G50*(1-B51)/(B53+1)*B50)</f>
        <v/>
      </c>
      <c r="K58" s="50" t="str">
        <f>IF(OR(NOT(G50),(COLUMN()-3)-(B52+5)&lt;0,(B52+5+B53) - (COLUMN()-2) &lt;0),"",G50*(1-B51)/(B53+1)*B50)</f>
        <v/>
      </c>
      <c r="L58" s="50" t="str">
        <f>IF(OR(NOT(G50),(COLUMN()-3)-(B52+5)&lt;0,(B52+5+B53) - (COLUMN()-2) &lt;0),"",G50*(1-B51)/(B53+1)*B50)</f>
        <v/>
      </c>
      <c r="M58" s="50" t="str">
        <f>IF(OR(NOT(G50),(COLUMN()-3)-(B52+5)&lt;0,(B52+5+B53) - (COLUMN()-2) &lt;0),"",G50*(1-B51)/(B53+1)*B50)</f>
        <v/>
      </c>
      <c r="N58" s="50" t="str">
        <f>IF(OR(NOT(G50),(COLUMN()-3)-(B52+5)&lt;0,(B52+5+B53) - (COLUMN()-2) &lt;0),"",G50*(1-B51)/(B53+1)*B50)</f>
        <v/>
      </c>
      <c r="O58" s="72" t="str">
        <f>IF(OR(NOT(G50),(COLUMN()-3)-(B52+5)&lt;0,(B52+5+B53) - (COLUMN()-2) &lt;0),"",G50*(1-B51)/(B53+1)*B50)</f>
        <v/>
      </c>
      <c r="P58" s="72" t="str">
        <f>IF(OR(NOT(G50),(COLUMN()-3)-(B52+5)&lt;0,(B52+5+B53) - (COLUMN()-2) &lt;0),"",G50*(1-B51)/(B53+1)*B50)</f>
        <v/>
      </c>
      <c r="Q58" s="72" t="str">
        <f>IF(OR(NOT(G50),(COLUMN()-3)-(B52+5)&lt;0,(B52+5+B53) - (COLUMN()-2) &lt;0),"",G50*(1-B51)/(B53+1)*B50)</f>
        <v/>
      </c>
      <c r="R58" s="72" t="str">
        <f>IF(OR(NOT(G50),(COLUMN()-3)-(B52+5)&lt;0,(B52+5+B53) - (COLUMN()-2) &lt;0),"",G50*(1-B51)/(B53+1)*B50)</f>
        <v/>
      </c>
      <c r="S58" s="72" t="str">
        <f>IF(OR(NOT(G50),(COLUMN()-3)-(B52+5)&lt;0,(B52+5+B53) - (COLUMN()-2) &lt;0),"",G50*(1-B51)/(B53+1)*B50)</f>
        <v/>
      </c>
      <c r="T58" s="72" t="str">
        <f>IF(OR(NOT(G50),(COLUMN()-3)-(B52+5)&lt;0,(B52+5+B53) - (COLUMN()-2) &lt;0),"",G50*(1-B51)/(B53+1)*B50)</f>
        <v/>
      </c>
      <c r="U58" s="72" t="str">
        <f>IF(OR(NOT(G50),(COLUMN()-3)-(B52+5)&lt;0,(B52+5+B53) - (COLUMN()-2) &lt;0),"",G50*(1-B51)/(B53+1)*B50)</f>
        <v/>
      </c>
      <c r="V58" s="72" t="str">
        <f>IF(OR(NOT(G50),(COLUMN()-3)-(B52+5)&lt;0,(B52+5+B53) - (COLUMN()-2) &lt;0),"",G50*(1-B51)/(B53+1)*B50)</f>
        <v/>
      </c>
      <c r="W58" s="72" t="str">
        <f>IF(OR(NOT(G50),(COLUMN()-3)-(B52+5)&lt;0,(B52+5+B53) - (COLUMN()-2) &lt;0),"",G50*(1-B51)/(B53+1)*B50)</f>
        <v/>
      </c>
      <c r="X58" s="72" t="str">
        <f>IF(OR(NOT(G50),(COLUMN()-3)-(B52+5)&lt;0,(B52+5+B53) - (COLUMN()-2) &lt;0),"",G50*(1-B51)/(B53+1)*B50)</f>
        <v/>
      </c>
      <c r="Y58" s="72" t="str">
        <f>IF(OR(NOT(G50),(COLUMN()-3)-(B52+5)&lt;0,(B52+5+B53) - (COLUMN()-2) &lt;0),"",G50*(1-B51)/(B53+1)*B50)</f>
        <v/>
      </c>
      <c r="Z58" s="72" t="str">
        <f>IF(OR(NOT(G50),(COLUMN()-3)-(B52+5)&lt;0,(B52+5+B53) - (COLUMN()-2) &lt;0),"",G50*(1-B51)/(B53+1)*B50)</f>
        <v/>
      </c>
      <c r="AA58" s="74" t="str">
        <f>IF(OR(NOT(G50),(COLUMN()-3)-(B52+5)&lt;0,(B52+5+B53) - (COLUMN()-2) &lt;0),"",G50*(1-B51)/(B53+1)*B50)</f>
        <v/>
      </c>
      <c r="AB58" s="74" t="str">
        <f>IF(OR(NOT(G50),(COLUMN()-3)-(B52+5)&lt;0,(B52+5+B53) - (COLUMN()-2) &lt;0),"",G50*(1-B51)/(B53+1)*B50)</f>
        <v/>
      </c>
      <c r="AC58" s="74" t="str">
        <f>IF(OR(NOT(G50),(COLUMN()-3)-(B52+5)&lt;0,(B52+5+B53) - (COLUMN()-2) &lt;0),"",G50*(1-B51)/(B53+1)*B50)</f>
        <v/>
      </c>
      <c r="AD58" s="91"/>
      <c r="AE58" s="91"/>
      <c r="AF58" s="91"/>
      <c r="AG58" s="91"/>
      <c r="AH58" s="91"/>
      <c r="AI58" s="91"/>
      <c r="AJ58" s="91"/>
    </row>
    <row r="59" spans="1:38" hidden="1">
      <c r="A59" s="91"/>
      <c r="B59" s="91"/>
      <c r="C59" s="91"/>
      <c r="D59" s="91"/>
      <c r="E59" s="91"/>
      <c r="F59" s="91"/>
      <c r="G59" s="91"/>
      <c r="H59" s="91"/>
      <c r="I59" s="50" t="str">
        <f>IF(OR(NOT(H50),(COLUMN()-3)-(B52+6)&lt;0,(B52+6+B53) - (COLUMN()-2) &lt;0),"",H50*(1-B51)/(B53+1)*B50)</f>
        <v/>
      </c>
      <c r="J59" s="50" t="str">
        <f>IF(OR(NOT(H50),(COLUMN()-3)-(B52+6)&lt;0,(B52+6+B53) - (COLUMN()-2) &lt;0),"",H50*(1-B51)/(B53+1)*B50)</f>
        <v/>
      </c>
      <c r="K59" s="50" t="str">
        <f>IF(OR(NOT(H50),(COLUMN()-3)-(B52+6)&lt;0,(B52+6+B53) - (COLUMN()-2) &lt;0),"",H50*(1-B51)/(B53+1)*B50)</f>
        <v/>
      </c>
      <c r="L59" s="50" t="str">
        <f>IF(OR(NOT(H50),(COLUMN()-3)-(B52+6)&lt;0,(B52+6+B53) - (COLUMN()-2) &lt;0),"",H50*(1-B51)/(B53+1)*B50)</f>
        <v/>
      </c>
      <c r="M59" s="50" t="str">
        <f>IF(OR(NOT(H50),(COLUMN()-3)-(B52+6)&lt;0,(B52+6+B53) - (COLUMN()-2) &lt;0),"",H50*(1-B51)/(B53+1)*B50)</f>
        <v/>
      </c>
      <c r="N59" s="50" t="str">
        <f>IF(OR(NOT(H50),(COLUMN()-3)-(B52+6)&lt;0,(B52+6+B53) - (COLUMN()-2) &lt;0),"",H50*(1-B51)/(B53+1)*B50)</f>
        <v/>
      </c>
      <c r="O59" s="72" t="str">
        <f>IF(OR(NOT(H50),(COLUMN()-3)-(B52+6)&lt;0,(B52+6+B53) - (COLUMN()-2) &lt;0),"",H50*(1-B51)/(B53+1)*B50)</f>
        <v/>
      </c>
      <c r="P59" s="72" t="str">
        <f>IF(OR(NOT(H50),(COLUMN()-3)-(B52+6)&lt;0,(B52+6+B53) - (COLUMN()-2) &lt;0),"",H50*(1-B51)/(B53+1)*B50)</f>
        <v/>
      </c>
      <c r="Q59" s="72" t="str">
        <f>IF(OR(NOT(H50),(COLUMN()-3)-(B52+6)&lt;0,(B52+6+B53) - (COLUMN()-2) &lt;0),"",H50*(1-B51)/(B53+1)*B50)</f>
        <v/>
      </c>
      <c r="R59" s="72" t="str">
        <f>IF(OR(NOT(H50),(COLUMN()-3)-(B52+6)&lt;0,(B52+6+B53) - (COLUMN()-2) &lt;0),"",H50*(1-B51)/(B53+1)*B50)</f>
        <v/>
      </c>
      <c r="S59" s="72" t="str">
        <f>IF(OR(NOT(H50),(COLUMN()-3)-(B52+6)&lt;0,(B52+6+B53) - (COLUMN()-2) &lt;0),"",H50*(1-B51)/(B53+1)*B50)</f>
        <v/>
      </c>
      <c r="T59" s="72" t="str">
        <f>IF(OR(NOT(H50),(COLUMN()-3)-(B52+6)&lt;0,(B52+6+B53) - (COLUMN()-2) &lt;0),"",H50*(1-B51)/(B53+1)*B50)</f>
        <v/>
      </c>
      <c r="U59" s="72" t="str">
        <f>IF(OR(NOT(H50),(COLUMN()-3)-(B52+6)&lt;0,(B52+6+B53) - (COLUMN()-2) &lt;0),"",H50*(1-B51)/(B53+1)*B50)</f>
        <v/>
      </c>
      <c r="V59" s="72" t="str">
        <f>IF(OR(NOT(H50),(COLUMN()-3)-(B52+6)&lt;0,(B52+6+B53) - (COLUMN()-2) &lt;0),"",H50*(1-B51)/(B53+1)*B50)</f>
        <v/>
      </c>
      <c r="W59" s="72" t="str">
        <f>IF(OR(NOT(H50),(COLUMN()-3)-(B52+6)&lt;0,(B52+6+B53) - (COLUMN()-2) &lt;0),"",H50*(1-B51)/(B53+1)*B50)</f>
        <v/>
      </c>
      <c r="X59" s="72" t="str">
        <f>IF(OR(NOT(H50),(COLUMN()-3)-(B52+6)&lt;0,(B52+6+B53) - (COLUMN()-2) &lt;0),"",H50*(1-B51)/(B53+1)*B50)</f>
        <v/>
      </c>
      <c r="Y59" s="72" t="str">
        <f>IF(OR(NOT(H50),(COLUMN()-3)-(B52+6)&lt;0,(B52+6+B53) - (COLUMN()-2) &lt;0),"",H50*(1-B51)/(B53+1)*B50)</f>
        <v/>
      </c>
      <c r="Z59" s="72" t="str">
        <f>IF(OR(NOT(H50),(COLUMN()-3)-(B52+6)&lt;0,(B52+6+B53) - (COLUMN()-2) &lt;0),"",H50*(1-B51)/(B53+1)*B50)</f>
        <v/>
      </c>
      <c r="AA59" s="74" t="str">
        <f>IF(OR(NOT(H50),(COLUMN()-3)-(B52+6)&lt;0,(B52+6+B53) - (COLUMN()-2) &lt;0),"",H50*(1-B51)/(B53+1)*B50)</f>
        <v/>
      </c>
      <c r="AB59" s="74" t="str">
        <f>IF(OR(NOT(H50),(COLUMN()-3)-(B52+6)&lt;0,(B52+6+B53) - (COLUMN()-2) &lt;0),"",H50*(1-B51)/(B53+1)*B50)</f>
        <v/>
      </c>
      <c r="AC59" s="74" t="str">
        <f>IF(OR(NOT(H50),(COLUMN()-3)-(B52+6)&lt;0,(B52+6+B53) - (COLUMN()-2) &lt;0),"",H50*(1-B51)/(B53+1)*B50)</f>
        <v/>
      </c>
      <c r="AD59" s="74" t="str">
        <f>IF(OR(NOT(H50),(COLUMN()-3)-(B52+6)&lt;0,(B52+6+B53) - (COLUMN()-2) &lt;0),"",H50*(1-B51)/(B53+1)*B50)</f>
        <v/>
      </c>
      <c r="AE59" s="91"/>
      <c r="AF59" s="91"/>
      <c r="AG59" s="91"/>
      <c r="AH59" s="91"/>
      <c r="AI59" s="91"/>
      <c r="AJ59" s="91"/>
    </row>
    <row r="60" spans="1:38" hidden="1">
      <c r="A60" s="91"/>
      <c r="B60" s="91"/>
      <c r="C60" s="91"/>
      <c r="D60" s="91"/>
      <c r="E60" s="91"/>
      <c r="F60" s="91"/>
      <c r="G60" s="91"/>
      <c r="H60" s="91"/>
      <c r="I60" s="91"/>
      <c r="J60" s="50" t="str">
        <f>IF(OR(NOT(I50),(COLUMN()-3)-(B52+7)&lt;0,(B52+7+B53) - (COLUMN()-2) &lt;0),"",I50*(1-B51)/(B53+1)*B50)</f>
        <v/>
      </c>
      <c r="K60" s="50" t="str">
        <f>IF(OR(NOT(I50),(COLUMN()-3)-(B52+7)&lt;0,(B52+7+B53) - (COLUMN()-2) &lt;0),"",I50*(1-B51)/(B53+1)*B50)</f>
        <v/>
      </c>
      <c r="L60" s="50" t="str">
        <f>IF(OR(NOT(I50),(COLUMN()-3)-(B52+7)&lt;0,(B52+7+B53) - (COLUMN()-2) &lt;0),"",I50*(1-B51)/(B53+1)*B50)</f>
        <v/>
      </c>
      <c r="M60" s="50" t="str">
        <f>IF(OR(NOT(I50),(COLUMN()-3)-(B52+7)&lt;0,(B52+7+B53) - (COLUMN()-2) &lt;0),"",I50*(1-B51)/(B53+1)*B50)</f>
        <v/>
      </c>
      <c r="N60" s="50" t="str">
        <f>IF(OR(NOT(I50),(COLUMN()-3)-(B52+7)&lt;0,(B52+7+B53) - (COLUMN()-2) &lt;0),"",I50*(1-B51)/(B53+1)*B50)</f>
        <v/>
      </c>
      <c r="O60" s="72" t="str">
        <f>IF(OR(NOT(I50),(COLUMN()-3)-(B52+7)&lt;0,(B52+7+B53) - (COLUMN()-2) &lt;0),"",I50*(1-B51)/(B53+1)*B50)</f>
        <v/>
      </c>
      <c r="P60" s="72" t="str">
        <f>IF(OR(NOT(I50),(COLUMN()-3)-(B52+7)&lt;0,(B52+7+B53) - (COLUMN()-2) &lt;0),"",I50*(1-B51)/(B53+1)*B50)</f>
        <v/>
      </c>
      <c r="Q60" s="72" t="str">
        <f>IF(OR(NOT(I50),(COLUMN()-3)-(B52+7)&lt;0,(B52+7+B53) - (COLUMN()-2) &lt;0),"",I50*(1-B51)/(B53+1)*B50)</f>
        <v/>
      </c>
      <c r="R60" s="72" t="str">
        <f>IF(OR(NOT(I50),(COLUMN()-3)-(B52+7)&lt;0,(B52+7+B53) - (COLUMN()-2) &lt;0),"",I50*(1-B51)/(B53+1)*B50)</f>
        <v/>
      </c>
      <c r="S60" s="72" t="str">
        <f>IF(OR(NOT(I50),(COLUMN()-3)-(B52+7)&lt;0,(B52+7+B53) - (COLUMN()-2) &lt;0),"",I50*(1-B51)/(B53+1)*B50)</f>
        <v/>
      </c>
      <c r="T60" s="72" t="str">
        <f>IF(OR(NOT(I50),(COLUMN()-3)-(B52+7)&lt;0,(B52+7+B53) - (COLUMN()-2) &lt;0),"",I50*(1-B51)/(B53+1)*B50)</f>
        <v/>
      </c>
      <c r="U60" s="72" t="str">
        <f>IF(OR(NOT(I50),(COLUMN()-3)-(B52+7)&lt;0,(B52+7+B53) - (COLUMN()-2) &lt;0),"",I50*(1-B51)/(B53+1)*B50)</f>
        <v/>
      </c>
      <c r="V60" s="72" t="str">
        <f>IF(OR(NOT(I50),(COLUMN()-3)-(B52+7)&lt;0,(B52+7+B53) - (COLUMN()-2) &lt;0),"",I50*(1-B51)/(B53+1)*B50)</f>
        <v/>
      </c>
      <c r="W60" s="72" t="str">
        <f>IF(OR(NOT(I50),(COLUMN()-3)-(B52+7)&lt;0,(B52+7+B53) - (COLUMN()-2) &lt;0),"",I50*(1-B51)/(B53+1)*B50)</f>
        <v/>
      </c>
      <c r="X60" s="72" t="str">
        <f>IF(OR(NOT(I50),(COLUMN()-3)-(B52+7)&lt;0,(B52+7+B53) - (COLUMN()-2) &lt;0),"",I50*(1-B51)/(B53+1)*B50)</f>
        <v/>
      </c>
      <c r="Y60" s="72" t="str">
        <f>IF(OR(NOT(I50),(COLUMN()-3)-(B52+7)&lt;0,(B52+7+B53) - (COLUMN()-2) &lt;0),"",I50*(1-B51)/(B53+1)*B50)</f>
        <v/>
      </c>
      <c r="Z60" s="72" t="str">
        <f>IF(OR(NOT(I50),(COLUMN()-3)-(B52+7)&lt;0,(B52+7+B53) - (COLUMN()-2) &lt;0),"",I50*(1-B51)/(B53+1)*B50)</f>
        <v/>
      </c>
      <c r="AA60" s="74" t="str">
        <f>IF(OR(NOT(I50),(COLUMN()-3)-(B52+7)&lt;0,(B52+7+B53) - (COLUMN()-2) &lt;0),"",I50*(1-B51)/(B53+1)*B50)</f>
        <v/>
      </c>
      <c r="AB60" s="74" t="str">
        <f>IF(OR(NOT(I50),(COLUMN()-3)-(B52+7)&lt;0,(B52+7+B53) - (COLUMN()-2) &lt;0),"",I50*(1-B51)/(B53+1)*B50)</f>
        <v/>
      </c>
      <c r="AC60" s="74" t="str">
        <f>IF(OR(NOT(I50),(COLUMN()-3)-(B52+7)&lt;0,(B52+7+B53) - (COLUMN()-2) &lt;0),"",I50*(1-B51)/(B53+1)*B50)</f>
        <v/>
      </c>
      <c r="AD60" s="74" t="str">
        <f>IF(OR(NOT(I50),(COLUMN()-3)-(B52+7)&lt;0,(B52+7+B53) - (COLUMN()-2) &lt;0),"",I50*(1-B51)/(B53+1)*B50)</f>
        <v/>
      </c>
      <c r="AE60" s="74" t="str">
        <f>IF(OR(NOT(I50),(COLUMN()-3)-(B52+7)&lt;0,(B52+7+B53) - (COLUMN()-2) &lt;0),"",I50*(1-B51)/(B53+1)*B50)</f>
        <v/>
      </c>
      <c r="AF60" s="91"/>
      <c r="AG60" s="91"/>
      <c r="AH60" s="91"/>
      <c r="AI60" s="91"/>
      <c r="AJ60" s="91"/>
    </row>
    <row r="61" spans="1:38" hidden="1">
      <c r="A61" s="91"/>
      <c r="B61" s="91"/>
      <c r="C61" s="91"/>
      <c r="D61" s="91"/>
      <c r="E61" s="91"/>
      <c r="F61" s="91"/>
      <c r="G61" s="91"/>
      <c r="H61" s="91"/>
      <c r="I61" s="91"/>
      <c r="J61" s="91"/>
      <c r="K61" s="50" t="str">
        <f>IF(OR(NOT(J50),(COLUMN()-3)-(B52+8)&lt;0,(B52+8+B53) - (COLUMN()-2) &lt;0),"",J50*(1-B51)/(B53+1)*B50)</f>
        <v/>
      </c>
      <c r="L61" s="50" t="str">
        <f>IF(OR(NOT(J50),(COLUMN()-3)-(B52+8)&lt;0,(B52+8+B53) - (COLUMN()-2) &lt;0),"",J50*(1-B51)/(B53+1)*B50)</f>
        <v/>
      </c>
      <c r="M61" s="50" t="str">
        <f>IF(OR(NOT(J50),(COLUMN()-3)-(B52+8)&lt;0,(B52+8+B53) - (COLUMN()-2) &lt;0),"",J50*(1-B51)/(B53+1)*B50)</f>
        <v/>
      </c>
      <c r="N61" s="50" t="str">
        <f>IF(OR(NOT(J50),(COLUMN()-3)-(B52+8)&lt;0,(B52+8+B53) - (COLUMN()-2) &lt;0),"",J50*(1-B51)/(B53+1)*B50)</f>
        <v/>
      </c>
      <c r="O61" s="72" t="str">
        <f>IF(OR(NOT(J50),(COLUMN()-3)-(B52+8)&lt;0,(B52+8+B53) - (COLUMN()-2) &lt;0),"",J50*(1-B51)/(B53+1)*B50)</f>
        <v/>
      </c>
      <c r="P61" s="72" t="str">
        <f>IF(OR(NOT(J50),(COLUMN()-3)-(B52+8)&lt;0,(B52+8+B53) - (COLUMN()-2) &lt;0),"",J50*(1-B51)/(B53+1)*B50)</f>
        <v/>
      </c>
      <c r="Q61" s="72" t="str">
        <f>IF(OR(NOT(J50),(COLUMN()-3)-(B52+8)&lt;0,(B52+8+B53) - (COLUMN()-2) &lt;0),"",J50*(1-B51)/(B53+1)*B50)</f>
        <v/>
      </c>
      <c r="R61" s="72" t="str">
        <f>IF(OR(NOT(J50),(COLUMN()-3)-(B52+8)&lt;0,(B52+8+B53) - (COLUMN()-2) &lt;0),"",J50*(1-B51)/(B53+1)*B50)</f>
        <v/>
      </c>
      <c r="S61" s="72" t="str">
        <f>IF(OR(NOT(J50),(COLUMN()-3)-(B52+8)&lt;0,(B52+8+B53) - (COLUMN()-2) &lt;0),"",J50*(1-B51)/(B53+1)*B50)</f>
        <v/>
      </c>
      <c r="T61" s="72" t="str">
        <f>IF(OR(NOT(J50),(COLUMN()-3)-(B52+8)&lt;0,(B52+8+B53) - (COLUMN()-2) &lt;0),"",J50*(1-B51)/(B53+1)*B50)</f>
        <v/>
      </c>
      <c r="U61" s="72" t="str">
        <f>IF(OR(NOT(J50),(COLUMN()-3)-(B52+8)&lt;0,(B52+8+B53) - (COLUMN()-2) &lt;0),"",J50*(1-B51)/(B53+1)*B50)</f>
        <v/>
      </c>
      <c r="V61" s="72" t="str">
        <f>IF(OR(NOT(J50),(COLUMN()-3)-(B52+8)&lt;0,(B52+8+B53) - (COLUMN()-2) &lt;0),"",J50*(1-B51)/(B53+1)*B50)</f>
        <v/>
      </c>
      <c r="W61" s="72" t="str">
        <f>IF(OR(NOT(J50),(COLUMN()-3)-(B52+8)&lt;0,(B52+8+B53) - (COLUMN()-2) &lt;0),"",J50*(1-B51)/(B53+1)*B50)</f>
        <v/>
      </c>
      <c r="X61" s="72" t="str">
        <f>IF(OR(NOT(J50),(COLUMN()-3)-(B52+8)&lt;0,(B52+8+B53) - (COLUMN()-2) &lt;0),"",J50*(1-B51)/(B53+1)*B50)</f>
        <v/>
      </c>
      <c r="Y61" s="72" t="str">
        <f>IF(OR(NOT(J50),(COLUMN()-3)-(B52+8)&lt;0,(B52+8+B53) - (COLUMN()-2) &lt;0),"",J50*(1-B51)/(B53+1)*B50)</f>
        <v/>
      </c>
      <c r="Z61" s="72" t="str">
        <f>IF(OR(NOT(J50),(COLUMN()-3)-(B52+8)&lt;0,(B52+8+B53) - (COLUMN()-2) &lt;0),"",J50*(1-B51)/(B53+1)*B50)</f>
        <v/>
      </c>
      <c r="AA61" s="74" t="str">
        <f>IF(OR(NOT(J50),(COLUMN()-3)-(B52+8)&lt;0,(B52+8+B53) - (COLUMN()-2) &lt;0),"",J50*(1-B51)/(B53+1)*B50)</f>
        <v/>
      </c>
      <c r="AB61" s="74" t="str">
        <f>IF(OR(NOT(J50),(COLUMN()-3)-(B52+8)&lt;0,(B52+8+B53) - (COLUMN()-2) &lt;0),"",J50*(1-B51)/(B53+1)*B50)</f>
        <v/>
      </c>
      <c r="AC61" s="74" t="str">
        <f>IF(OR(NOT(J50),(COLUMN()-3)-(B52+8)&lt;0,(B52+8+B53) - (COLUMN()-2) &lt;0),"",J50*(1-B51)/(B53+1)*B50)</f>
        <v/>
      </c>
      <c r="AD61" s="74" t="str">
        <f>IF(OR(NOT(J50),(COLUMN()-3)-(B52+8)&lt;0,(B52+8+B53) - (COLUMN()-2) &lt;0),"",J50*(1-B51)/(B53+1)*B50)</f>
        <v/>
      </c>
      <c r="AE61" s="74" t="str">
        <f>IF(OR(NOT(J50),(COLUMN()-3)-(B52+8)&lt;0,(B52+8+B53) - (COLUMN()-2) &lt;0),"",J50*(1-B51)/(B53+1)*B50)</f>
        <v/>
      </c>
      <c r="AF61" s="74" t="str">
        <f>IF(OR(NOT(J50),(COLUMN()-3)-(B52+8)&lt;0,(B52+8+B53) - (COLUMN()-2) &lt;0),"",J50*(1-B51)/(B53+1)*B50)</f>
        <v/>
      </c>
      <c r="AG61" s="91"/>
      <c r="AH61" s="91"/>
      <c r="AI61" s="91"/>
      <c r="AJ61" s="91"/>
    </row>
    <row r="62" spans="1:38" hidden="1">
      <c r="A62" s="91"/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50" t="str">
        <f>IF(OR(NOT(K50),(COLUMN()-3)-(B52+9)&lt;0,(B52+9+B53) - (COLUMN()-2) &lt;0),"",K50*(1-B51)/(B53+1)*B50)</f>
        <v/>
      </c>
      <c r="M62" s="50" t="str">
        <f>IF(OR(NOT(K50),(COLUMN()-3)-(B52+9)&lt;0,(B52+9+B53) - (COLUMN()-2) &lt;0),"",K50*(1-B51)/(B53+1)*B50)</f>
        <v/>
      </c>
      <c r="N62" s="50" t="str">
        <f>IF(OR(NOT(K50),(COLUMN()-3)-(B52+9)&lt;0,(B52+9+B53) - (COLUMN()-2) &lt;0),"",K50*(1-B51)/(B53+1)*B50)</f>
        <v/>
      </c>
      <c r="O62" s="72" t="str">
        <f>IF(OR(NOT(K50),(COLUMN()-3)-(B52+9)&lt;0,(B52+9+B53) - (COLUMN()-2) &lt;0),"",K50*(1-B51)/(B53+1)*B50)</f>
        <v/>
      </c>
      <c r="P62" s="72" t="str">
        <f>IF(OR(NOT(K50),(COLUMN()-3)-(B52+9)&lt;0,(B52+9+B53) - (COLUMN()-2) &lt;0),"",K50*(1-B51)/(B53+1)*B50)</f>
        <v/>
      </c>
      <c r="Q62" s="72" t="str">
        <f>IF(OR(NOT(K50),(COLUMN()-3)-(B52+9)&lt;0,(B52+9+B53) - (COLUMN()-2) &lt;0),"",K50*(1-B51)/(B53+1)*B50)</f>
        <v/>
      </c>
      <c r="R62" s="72" t="str">
        <f>IF(OR(NOT(K50),(COLUMN()-3)-(B52+9)&lt;0,(B52+9+B53) - (COLUMN()-2) &lt;0),"",K50*(1-B51)/(B53+1)*B50)</f>
        <v/>
      </c>
      <c r="S62" s="72" t="str">
        <f>IF(OR(NOT(K50),(COLUMN()-3)-(B52+9)&lt;0,(B52+9+B53) - (COLUMN()-2) &lt;0),"",K50*(1-B51)/(B53+1)*B50)</f>
        <v/>
      </c>
      <c r="T62" s="72" t="str">
        <f>IF(OR(NOT(K50),(COLUMN()-3)-(B52+9)&lt;0,(B52+9+B53) - (COLUMN()-2) &lt;0),"",K50*(1-B51)/(B53+1)*B50)</f>
        <v/>
      </c>
      <c r="U62" s="72" t="str">
        <f>IF(OR(NOT(K50),(COLUMN()-3)-(B52+9)&lt;0,(B52+9+B53) - (COLUMN()-2) &lt;0),"",K50*(1-B51)/(B53+1)*B50)</f>
        <v/>
      </c>
      <c r="V62" s="72" t="str">
        <f>IF(OR(NOT(K50),(COLUMN()-3)-(B52+9)&lt;0,(B52+9+B53) - (COLUMN()-2) &lt;0),"",K50*(1-B51)/(B53+1)*B50)</f>
        <v/>
      </c>
      <c r="W62" s="72" t="str">
        <f>IF(OR(NOT(K50),(COLUMN()-3)-(B52+9)&lt;0,(B52+9+B53) - (COLUMN()-2) &lt;0),"",K50*(1-B51)/(B53+1)*B50)</f>
        <v/>
      </c>
      <c r="X62" s="72" t="str">
        <f>IF(OR(NOT(K50),(COLUMN()-3)-(B52+9)&lt;0,(B52+9+B53) - (COLUMN()-2) &lt;0),"",K50*(1-B51)/(B53+1)*B50)</f>
        <v/>
      </c>
      <c r="Y62" s="72" t="str">
        <f>IF(OR(NOT(K50),(COLUMN()-3)-(B52+9)&lt;0,(B52+9+B53) - (COLUMN()-2) &lt;0),"",K50*(1-B51)/(B53+1)*B50)</f>
        <v/>
      </c>
      <c r="Z62" s="72" t="str">
        <f>IF(OR(NOT(K50),(COLUMN()-3)-(B52+9)&lt;0,(B52+9+B53) - (COLUMN()-2) &lt;0),"",K50*(1-B51)/(B53+1)*B50)</f>
        <v/>
      </c>
      <c r="AA62" s="74" t="str">
        <f>IF(OR(NOT(K50),(COLUMN()-3)-(B52+9)&lt;0,(B52+9+B53) - (COLUMN()-2) &lt;0),"",K50*(1-B51)/(B53+1)*B50)</f>
        <v/>
      </c>
      <c r="AB62" s="74" t="str">
        <f>IF(OR(NOT(K50),(COLUMN()-3)-(B52+9)&lt;0,(B52+9+B53) - (COLUMN()-2) &lt;0),"",K50*(1-B51)/(B53+1)*B50)</f>
        <v/>
      </c>
      <c r="AC62" s="74" t="str">
        <f>IF(OR(NOT(K50),(COLUMN()-3)-(B52+9)&lt;0,(B52+9+B53) - (COLUMN()-2) &lt;0),"",K50*(1-B51)/(B53+1)*B50)</f>
        <v/>
      </c>
      <c r="AD62" s="74" t="str">
        <f>IF(OR(NOT(K50),(COLUMN()-3)-(B52+9)&lt;0,(B52+9+B53) - (COLUMN()-2) &lt;0),"",K50*(1-B51)/(B53+1)*B50)</f>
        <v/>
      </c>
      <c r="AE62" s="74" t="str">
        <f>IF(OR(NOT(K50),(COLUMN()-3)-(B52+9)&lt;0,(B52+9+B53) - (COLUMN()-2) &lt;0),"",K50*(1-B51)/(B53+1)*B50)</f>
        <v/>
      </c>
      <c r="AF62" s="74" t="str">
        <f>IF(OR(NOT(K50),(COLUMN()-3)-(B52+9)&lt;0,(B52+9+B53) - (COLUMN()-2) &lt;0),"",K50*(1-B51)/(B53+1)*B50)</f>
        <v/>
      </c>
      <c r="AG62" s="74" t="str">
        <f>IF(OR(NOT(K50),(COLUMN()-3)-(B52+9)&lt;0,(B52+9+B53) - (COLUMN()-2) &lt;0),"",K50*(1-B51)/(B53+1)*B50)</f>
        <v/>
      </c>
      <c r="AH62" s="91"/>
      <c r="AI62" s="91"/>
      <c r="AJ62" s="91"/>
    </row>
    <row r="63" spans="1:38" hidden="1">
      <c r="A63" s="91"/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50" t="str">
        <f>IF(OR(NOT(L50),(COLUMN()-3)-(B52+10)&lt;0,(B52+10+B53) - (COLUMN()-2) &lt;0),"",L50*(1-B51)/(B53+1)*B50)</f>
        <v/>
      </c>
      <c r="N63" s="50" t="str">
        <f>IF(OR(NOT(L50),(COLUMN()-3)-(B52+10)&lt;0,(B52+10+B53) - (COLUMN()-2) &lt;0),"",L50*(1-B51)/(B53+1)*B50)</f>
        <v/>
      </c>
      <c r="O63" s="72" t="str">
        <f>IF(OR(NOT(L50),(COLUMN()-3)-(B52+10)&lt;0,(B52+10+B53) - (COLUMN()-2) &lt;0),"",L50*(1-B51)/(B53+1)*B50)</f>
        <v/>
      </c>
      <c r="P63" s="72" t="str">
        <f>IF(OR(NOT(L50),(COLUMN()-3)-(B52+10)&lt;0,(B52+10+B53) - (COLUMN()-2) &lt;0),"",L50*(1-B51)/(B53+1)*B50)</f>
        <v/>
      </c>
      <c r="Q63" s="72" t="str">
        <f>IF(OR(NOT(L50),(COLUMN()-3)-(B52+10)&lt;0,(B52+10+B53) - (COLUMN()-2) &lt;0),"",L50*(1-B51)/(B53+1)*B50)</f>
        <v/>
      </c>
      <c r="R63" s="72" t="str">
        <f>IF(OR(NOT(L50),(COLUMN()-3)-(B52+10)&lt;0,(B52+10+B53) - (COLUMN()-2) &lt;0),"",L50*(1-B51)/(B53+1)*B50)</f>
        <v/>
      </c>
      <c r="S63" s="72" t="str">
        <f>IF(OR(NOT(L50),(COLUMN()-3)-(B52+10)&lt;0,(B52+10+B53) - (COLUMN()-2) &lt;0),"",L50*(1-B51)/(B53+1)*B50)</f>
        <v/>
      </c>
      <c r="T63" s="72" t="str">
        <f>IF(OR(NOT(L50),(COLUMN()-3)-(B52+10)&lt;0,(B52+10+B53) - (COLUMN()-2) &lt;0),"",L50*(1-B51)/(B53+1)*B50)</f>
        <v/>
      </c>
      <c r="U63" s="72" t="str">
        <f>IF(OR(NOT(L50),(COLUMN()-3)-(B52+10)&lt;0,(B52+10+B53) - (COLUMN()-2) &lt;0),"",L50*(1-B51)/(B53+1)*B50)</f>
        <v/>
      </c>
      <c r="V63" s="72" t="str">
        <f>IF(OR(NOT(L50),(COLUMN()-3)-(B52+10)&lt;0,(B52+10+B53) - (COLUMN()-2) &lt;0),"",L50*(1-B51)/(B53+1)*B50)</f>
        <v/>
      </c>
      <c r="W63" s="72" t="str">
        <f>IF(OR(NOT(L50),(COLUMN()-3)-(B52+10)&lt;0,(B52+10+B53) - (COLUMN()-2) &lt;0),"",L50*(1-B51)/(B53+1)*B50)</f>
        <v/>
      </c>
      <c r="X63" s="72" t="str">
        <f>IF(OR(NOT(L50),(COLUMN()-3)-(B52+10)&lt;0,(B52+10+B53) - (COLUMN()-2) &lt;0),"",L50*(1-B51)/(B53+1)*B50)</f>
        <v/>
      </c>
      <c r="Y63" s="72" t="str">
        <f>IF(OR(NOT(L50),(COLUMN()-3)-(B52+10)&lt;0,(B52+10+B53) - (COLUMN()-2) &lt;0),"",L50*(1-B51)/(B53+1)*B50)</f>
        <v/>
      </c>
      <c r="Z63" s="72" t="str">
        <f>IF(OR(NOT(L50),(COLUMN()-3)-(B52+10)&lt;0,(B52+10+B53) - (COLUMN()-2) &lt;0),"",L50*(1-B51)/(B53+1)*B50)</f>
        <v/>
      </c>
      <c r="AA63" s="74" t="str">
        <f>IF(OR(NOT(L50),(COLUMN()-3)-(B52+10)&lt;0,(B52+10+B53) - (COLUMN()-2) &lt;0),"",L50*(1-B51)/(B53+1)*B50)</f>
        <v/>
      </c>
      <c r="AB63" s="74" t="str">
        <f>IF(OR(NOT(L50),(COLUMN()-3)-(B52+10)&lt;0,(B52+10+B53) - (COLUMN()-2) &lt;0),"",L50*(1-B51)/(B53+1)*B50)</f>
        <v/>
      </c>
      <c r="AC63" s="74" t="str">
        <f>IF(OR(NOT(L50),(COLUMN()-3)-(B52+10)&lt;0,(B52+10+B53) - (COLUMN()-2) &lt;0),"",L50*(1-B51)/(B53+1)*B50)</f>
        <v/>
      </c>
      <c r="AD63" s="74" t="str">
        <f>IF(OR(NOT(L50),(COLUMN()-3)-(B52+10)&lt;0,(B52+10+B53) - (COLUMN()-2) &lt;0),"",L50*(1-B51)/(B53+1)*B50)</f>
        <v/>
      </c>
      <c r="AE63" s="74" t="str">
        <f>IF(OR(NOT(L50),(COLUMN()-3)-(B52+10)&lt;0,(B52+10+B53) - (COLUMN()-2) &lt;0),"",L50*(1-B51)/(B53+1)*B50)</f>
        <v/>
      </c>
      <c r="AF63" s="74" t="str">
        <f>IF(OR(NOT(L50),(COLUMN()-3)-(B52+10)&lt;0,(B52+10+B53) - (COLUMN()-2) &lt;0),"",L50*(1-B51)/(B53+1)*B50)</f>
        <v/>
      </c>
      <c r="AG63" s="74" t="str">
        <f>IF(OR(NOT(L50),(COLUMN()-3)-(B52+10)&lt;0,(B52+10+B53) - (COLUMN()-2) &lt;0),"",L50*(1-B51)/(B53+1)*B50)</f>
        <v/>
      </c>
      <c r="AH63" s="74" t="str">
        <f>IF(OR(NOT(L50),(COLUMN()-3)-(B52+10)&lt;0,(B52+10+B53) - (COLUMN()-2) &lt;0),"",L50*(1-B51)/(B53+1)*B50)</f>
        <v/>
      </c>
      <c r="AI63" s="91"/>
      <c r="AJ63" s="91"/>
    </row>
    <row r="64" spans="1:38" hidden="1">
      <c r="A64" s="91"/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50" t="str">
        <f>IF(OR(NOT(M50),(COLUMN()-3)-(B52+11)&lt;0,(B52+11+B53) - (COLUMN()-2) &lt;0),"",M50*(1-B51)/(B53+1)*B50)</f>
        <v/>
      </c>
      <c r="O64" s="72" t="str">
        <f>IF(OR(NOT(M50),(COLUMN()-3)-(B52+11)&lt;0,(B52+11+B53) - (COLUMN()-2) &lt;0),"",M50*(1-B51)/(B53+1)*B50)</f>
        <v/>
      </c>
      <c r="P64" s="72" t="str">
        <f>IF(OR(NOT(M50),(COLUMN()-3)-(B52+11)&lt;0,(B52+11+B53) - (COLUMN()-2) &lt;0),"",M50*(1-B51)/(B53+1)*B50)</f>
        <v/>
      </c>
      <c r="Q64" s="72" t="str">
        <f>IF(OR(NOT(M50),(COLUMN()-3)-(B52+11)&lt;0,(B52+11+B53) - (COLUMN()-2) &lt;0),"",M50*(1-B51)/(B53+1)*B50)</f>
        <v/>
      </c>
      <c r="R64" s="72" t="str">
        <f>IF(OR(NOT(M50),(COLUMN()-3)-(B52+11)&lt;0,(B52+11+B53) - (COLUMN()-2) &lt;0),"",M50*(1-B51)/(B53+1)*B50)</f>
        <v/>
      </c>
      <c r="S64" s="72" t="str">
        <f>IF(OR(NOT(M50),(COLUMN()-3)-(B52+11)&lt;0,(B52+11+B53) - (COLUMN()-2) &lt;0),"",M50*(1-B51)/(B53+1)*B50)</f>
        <v/>
      </c>
      <c r="T64" s="72" t="str">
        <f>IF(OR(NOT(M50),(COLUMN()-3)-(B52+11)&lt;0,(B52+11+B53) - (COLUMN()-2) &lt;0),"",M50*(1-B51)/(B53+1)*B50)</f>
        <v/>
      </c>
      <c r="U64" s="72" t="str">
        <f>IF(OR(NOT(M50),(COLUMN()-3)-(B52+11)&lt;0,(B52+11+B53) - (COLUMN()-2) &lt;0),"",M50*(1-B51)/(B53+1)*B50)</f>
        <v/>
      </c>
      <c r="V64" s="72" t="str">
        <f>IF(OR(NOT(M50),(COLUMN()-3)-(B52+11)&lt;0,(B52+11+B53) - (COLUMN()-2) &lt;0),"",M50*(1-B51)/(B53+1)*B50)</f>
        <v/>
      </c>
      <c r="W64" s="72" t="str">
        <f>IF(OR(NOT(M50),(COLUMN()-3)-(B52+11)&lt;0,(B52+11+B53) - (COLUMN()-2) &lt;0),"",M50*(1-B51)/(B53+1)*B50)</f>
        <v/>
      </c>
      <c r="X64" s="72" t="str">
        <f>IF(OR(NOT(M50),(COLUMN()-3)-(B52+11)&lt;0,(B52+11+B53) - (COLUMN()-2) &lt;0),"",M50*(1-B51)/(B53+1)*B50)</f>
        <v/>
      </c>
      <c r="Y64" s="72" t="str">
        <f>IF(OR(NOT(M50),(COLUMN()-3)-(B52+11)&lt;0,(B52+11+B53) - (COLUMN()-2) &lt;0),"",M50*(1-B51)/(B53+1)*B50)</f>
        <v/>
      </c>
      <c r="Z64" s="72" t="str">
        <f>IF(OR(NOT(M50),(COLUMN()-3)-(B52+11)&lt;0,(B52+11+B53) - (COLUMN()-2) &lt;0),"",M50*(1-B51)/(B53+1)*B50)</f>
        <v/>
      </c>
      <c r="AA64" s="74" t="str">
        <f>IF(OR(NOT(M50),(COLUMN()-3)-(B52+11)&lt;0,(B52+11+B53) - (COLUMN()-2) &lt;0),"",M50*(1-B51)/(B53+1)*B50)</f>
        <v/>
      </c>
      <c r="AB64" s="74" t="str">
        <f>IF(OR(NOT(M50),(COLUMN()-3)-(B52+11)&lt;0,(B52+11+B53) - (COLUMN()-2) &lt;0),"",M50*(1-B51)/(B53+1)*B50)</f>
        <v/>
      </c>
      <c r="AC64" s="74" t="str">
        <f>IF(OR(NOT(M50),(COLUMN()-3)-(B52+11)&lt;0,(B52+11+B53) - (COLUMN()-2) &lt;0),"",M50*(1-B51)/(B53+1)*B50)</f>
        <v/>
      </c>
      <c r="AD64" s="74" t="str">
        <f>IF(OR(NOT(M50),(COLUMN()-3)-(B52+11)&lt;0,(B52+11+B53) - (COLUMN()-2) &lt;0),"",M50*(1-B51)/(B53+1)*B50)</f>
        <v/>
      </c>
      <c r="AE64" s="74" t="str">
        <f>IF(OR(NOT(M50),(COLUMN()-3)-(B52+11)&lt;0,(B52+11+B53) - (COLUMN()-2) &lt;0),"",M50*(1-B51)/(B53+1)*B50)</f>
        <v/>
      </c>
      <c r="AF64" s="74" t="str">
        <f>IF(OR(NOT(M50),(COLUMN()-3)-(B52+11)&lt;0,(B52+11+B53) - (COLUMN()-2) &lt;0),"",M50*(1-B51)/(B53+1)*B50)</f>
        <v/>
      </c>
      <c r="AG64" s="74" t="str">
        <f>IF(OR(NOT(M50),(COLUMN()-3)-(B52+11)&lt;0,(B52+11+B53) - (COLUMN()-2) &lt;0),"",M50*(1-B51)/(B53+1)*B50)</f>
        <v/>
      </c>
      <c r="AH64" s="74" t="str">
        <f>IF(OR(NOT(M50),(COLUMN()-3)-(B52+11)&lt;0,(B52+11+B53) - (COLUMN()-2) &lt;0),"",M50*(1-B51)/(B53+1)*B50)</f>
        <v/>
      </c>
      <c r="AI64" s="74" t="str">
        <f>IF(OR(NOT(M50),(COLUMN()-3)-(B52+11)&lt;0,(B52+11+B53) - (COLUMN()-2) &lt;0),"",M50*(1-B51)/(B53+1)*B50)</f>
        <v/>
      </c>
      <c r="AJ64" s="91"/>
    </row>
    <row r="65" spans="1:38" hidden="1">
      <c r="A65" s="91"/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72" t="str">
        <f>IF(OR(NOT(N50),(COLUMN()-3)-(B52+12)&lt;0,(B52+12+B53) - (COLUMN()-2) &lt;0),"",N50*(1-B51)/(B53+1)*B50)</f>
        <v/>
      </c>
      <c r="P65" s="72" t="str">
        <f>IF(OR(NOT(N50),(COLUMN()-3)-(B52+12)&lt;0,(B52+12+B53) - (COLUMN()-2) &lt;0),"",N50*(1-B51)/(B53+1)*B50)</f>
        <v/>
      </c>
      <c r="Q65" s="72" t="str">
        <f>IF(OR(NOT(N50),(COLUMN()-3)-(B52+12)&lt;0,(B52+12+B53) - (COLUMN()-2) &lt;0),"",N50*(1-B51)/(B53+1)*B50)</f>
        <v/>
      </c>
      <c r="R65" s="72" t="str">
        <f>IF(OR(NOT(N50),(COLUMN()-3)-(B52+12)&lt;0,(B52+12+B53) - (COLUMN()-2) &lt;0),"",N50*(1-B51)/(B53+1)*B50)</f>
        <v/>
      </c>
      <c r="S65" s="72" t="str">
        <f>IF(OR(NOT(N50),(COLUMN()-3)-(B52+12)&lt;0,(B52+12+B53) - (COLUMN()-2) &lt;0),"",N50*(1-B51)/(B53+1)*B50)</f>
        <v/>
      </c>
      <c r="T65" s="72" t="str">
        <f>IF(OR(NOT(N50),(COLUMN()-3)-(B52+12)&lt;0,(B52+12+B53) - (COLUMN()-2) &lt;0),"",N50*(1-B51)/(B53+1)*B50)</f>
        <v/>
      </c>
      <c r="U65" s="72" t="str">
        <f>IF(OR(NOT(N50),(COLUMN()-3)-(B52+12)&lt;0,(B52+12+B53) - (COLUMN()-2) &lt;0),"",N50*(1-B51)/(B53+1)*B50)</f>
        <v/>
      </c>
      <c r="V65" s="72" t="str">
        <f>IF(OR(NOT(N50),(COLUMN()-3)-(B52+12)&lt;0,(B52+12+B53) - (COLUMN()-2) &lt;0),"",N50*(1-B51)/(B53+1)*B50)</f>
        <v/>
      </c>
      <c r="W65" s="72" t="str">
        <f>IF(OR(NOT(N50),(COLUMN()-3)-(B52+12)&lt;0,(B52+12+B53) - (COLUMN()-2) &lt;0),"",N50*(1-B51)/(B53+1)*B50)</f>
        <v/>
      </c>
      <c r="X65" s="72" t="str">
        <f>IF(OR(NOT(N50),(COLUMN()-3)-(B52+12)&lt;0,(B52+12+B53) - (COLUMN()-2) &lt;0),"",N50*(1-B51)/(B53+1)*B50)</f>
        <v/>
      </c>
      <c r="Y65" s="72" t="str">
        <f>IF(OR(NOT(N50),(COLUMN()-3)-(B52+12)&lt;0,(B52+12+B53) - (COLUMN()-2) &lt;0),"",N50*(1-B51)/(B53+1)*B50)</f>
        <v/>
      </c>
      <c r="Z65" s="72" t="str">
        <f>IF(OR(NOT(N50),(COLUMN()-3)-(B52+12)&lt;0,(B52+12+B53) - (COLUMN()-2) &lt;0),"",N50*(1-B51)/(B53+1)*B50)</f>
        <v/>
      </c>
      <c r="AA65" s="74" t="str">
        <f>IF(OR(NOT(N50),(COLUMN()-3)-(B52+12)&lt;0,(B52+12+B53) - (COLUMN()-2) &lt;0),"",N50*(1-B51)/(B53+1)*B50)</f>
        <v/>
      </c>
      <c r="AB65" s="74" t="str">
        <f>IF(OR(NOT(N50),(COLUMN()-3)-(B52+12)&lt;0,(B52+12+B53) - (COLUMN()-2) &lt;0),"",N50*(1-B51)/(B53+1)*B50)</f>
        <v/>
      </c>
      <c r="AC65" s="74" t="str">
        <f>IF(OR(NOT(N50),(COLUMN()-3)-(B52+12)&lt;0,(B52+12+B53) - (COLUMN()-2) &lt;0),"",N50*(1-B51)/(B53+1)*B50)</f>
        <v/>
      </c>
      <c r="AD65" s="74" t="str">
        <f>IF(OR(NOT(N50),(COLUMN()-3)-(B52+12)&lt;0,(B52+12+B53) - (COLUMN()-2) &lt;0),"",N50*(1-B51)/(B53+1)*B50)</f>
        <v/>
      </c>
      <c r="AE65" s="74" t="str">
        <f>IF(OR(NOT(N50),(COLUMN()-3)-(B52+12)&lt;0,(B52+12+B53) - (COLUMN()-2) &lt;0),"",N50*(1-B51)/(B53+1)*B50)</f>
        <v/>
      </c>
      <c r="AF65" s="74" t="str">
        <f>IF(OR(NOT(N50),(COLUMN()-3)-(B52+12)&lt;0,(B52+12+B53) - (COLUMN()-2) &lt;0),"",N50*(1-B51)/(B53+1)*B50)</f>
        <v/>
      </c>
      <c r="AG65" s="74" t="str">
        <f>IF(OR(NOT(N50),(COLUMN()-3)-(B52+12)&lt;0,(B52+12+B53) - (COLUMN()-2) &lt;0),"",N50*(1-B51)/(B53+1)*B50)</f>
        <v/>
      </c>
      <c r="AH65" s="74" t="str">
        <f>IF(OR(NOT(N50),(COLUMN()-3)-(B52+12)&lt;0,(B52+12+B53) - (COLUMN()-2) &lt;0),"",N50*(1-B51)/(B53+1)*B50)</f>
        <v/>
      </c>
      <c r="AI65" s="74" t="str">
        <f>IF(OR(NOT(N50),(COLUMN()-3)-(B52+12)&lt;0,(B52+12+B53) - (COLUMN()-2) &lt;0),"",N50*(1-B51)/(B53+1)*B50)</f>
        <v/>
      </c>
      <c r="AJ65" s="74" t="str">
        <f>IF(OR(NOT(N50),(COLUMN()-3)-(B52+12)&lt;0,(B52+12+B53) - (COLUMN()-2) &lt;0),"",N50*(1-B51)/(B53+1)*B50)</f>
        <v/>
      </c>
    </row>
    <row r="66" spans="1:38">
      <c r="A66" s="90" t="s">
        <v>85</v>
      </c>
      <c r="B66" s="52"/>
      <c r="C66" s="92" t="str">
        <f>IF(-SUM(C51:C52)*B66,-SUM(C51:C52)*B66,"")</f>
        <v/>
      </c>
      <c r="D66" s="92" t="str">
        <f>IF(-SUM(D51:D53)*B66,-SUM(D51:D53)*B66,"")</f>
        <v/>
      </c>
      <c r="E66" s="92" t="str">
        <f>IF(-SUM(E51:E53)*B66,-SUM(E51:E53)*B66,"")</f>
        <v/>
      </c>
      <c r="F66" s="92" t="str">
        <f>IF(-SUM(F51:F53)*B66,-SUM(F51:F53)*B66,"")</f>
        <v/>
      </c>
      <c r="G66" s="92" t="str">
        <f>IF(-SUM(G51:G53)*B66,-SUM(G51:G53)*B66,"")</f>
        <v/>
      </c>
      <c r="H66" s="92" t="str">
        <f>IF(-SUM(H51:H53)*B66,-SUM(H51:H53)*B66,"")</f>
        <v/>
      </c>
      <c r="I66" s="92" t="str">
        <f>IF(-SUM(I51:I53)*B66,-SUM(I51:I53)*B66,"")</f>
        <v/>
      </c>
      <c r="J66" s="92" t="str">
        <f>IF(-SUM(J51:J53)*B66,-SUM(J51:J53)*B66,"")</f>
        <v/>
      </c>
      <c r="K66" s="92" t="str">
        <f>IF(-SUM(K51:K53)*B66,-SUM(K51:K53)*B66,"")</f>
        <v/>
      </c>
      <c r="L66" s="92" t="str">
        <f>IF(-SUM(L51:L53)*B66,-SUM(L51:L53)*B66,"")</f>
        <v/>
      </c>
      <c r="M66" s="92" t="str">
        <f>IF(-SUM(M51:M53)*B66,-SUM(M51:M53)*B66,"")</f>
        <v/>
      </c>
      <c r="N66" s="92" t="str">
        <f>IF(-SUM(N51:N53)*B66,-SUM(N51:N53)*B66,"")</f>
        <v/>
      </c>
      <c r="O66" s="92" t="str">
        <f>IF(-SUM(O52:O53)*B66,-SUM(O52:O53)*B66,"")</f>
        <v/>
      </c>
      <c r="P66" s="92" t="str">
        <f>IF(-SUM(P52:P53)*B66,-SUM(P52:P53)*B66,"")</f>
        <v/>
      </c>
      <c r="Q66" s="92" t="str">
        <f>IF(-SUM(Q52:Q53)*B66,-SUM(Q52:Q53)*B66,"")</f>
        <v/>
      </c>
      <c r="R66" s="92" t="str">
        <f>IF(-SUM(R52:R53)*B66,-SUM(R52:R53)*B66,"")</f>
        <v/>
      </c>
      <c r="S66" s="92" t="str">
        <f>IF(-SUM(S52:S53)*B66,-SUM(S52:S53)*B66,"")</f>
        <v/>
      </c>
      <c r="T66" s="92" t="str">
        <f>IF(-SUM(T52:T53)*B66,-SUM(T52:T53)*B66,"")</f>
        <v/>
      </c>
      <c r="U66" s="92" t="str">
        <f>IF(-SUM(U52:U53)*B66,-SUM(U52:U53)*B66,"")</f>
        <v/>
      </c>
      <c r="V66" s="92" t="str">
        <f>IF(-SUM(V52:V53)*B66,-SUM(V52:V53)*B66,"")</f>
        <v/>
      </c>
      <c r="W66" s="92" t="str">
        <f>IF(-SUM(W52:W53)*B66,-SUM(W52:W53)*B66,"")</f>
        <v/>
      </c>
      <c r="X66" s="92" t="str">
        <f>IF(-SUM(X52:X53)*B66,-SUM(X52:X53)*B66,"")</f>
        <v/>
      </c>
      <c r="Y66" s="92" t="str">
        <f>IF(-SUM(Y52:Y53)*B66,-SUM(Y52:Y53)*B66,"")</f>
        <v/>
      </c>
      <c r="Z66" s="92" t="str">
        <f>IF(-SUM(Z53)*B66,-Z53*B66,"")</f>
        <v/>
      </c>
      <c r="AA66" s="92" t="str">
        <f>IF(-SUM(AA53),-AA53*B66,"")</f>
        <v/>
      </c>
      <c r="AB66" s="92" t="str">
        <f>IF(-SUM(AB53)*B66,-AB53*B66,"")</f>
        <v/>
      </c>
      <c r="AC66" s="92" t="str">
        <f>IF(-SUM(AC53)*B66,-AC53*B66,"")</f>
        <v/>
      </c>
      <c r="AD66" s="92" t="str">
        <f>IF(-SUM(AD53)*B66,-AD53*B66,"")</f>
        <v/>
      </c>
      <c r="AE66" s="92" t="str">
        <f>IF(-SUM(AE53)*B66,-AE53*B66,"")</f>
        <v/>
      </c>
      <c r="AF66" s="92" t="str">
        <f>IF(-SUM(AF53)*B66,-AF53*B66,"")</f>
        <v/>
      </c>
      <c r="AG66" s="92" t="str">
        <f>IF(-SUM(AG53)*B66,-AG53*B66,"")</f>
        <v/>
      </c>
      <c r="AH66" s="92" t="str">
        <f>IF(-SUM(AH53)*B66,-AH53*B66,"")</f>
        <v/>
      </c>
      <c r="AI66" s="92" t="str">
        <f>IF(-SUM(AI53)*B66,-AI53*B66,"")</f>
        <v/>
      </c>
      <c r="AJ66" s="92" t="str">
        <f>IF(-SUM(AJ53)*B66,-AJ53*B66,"")</f>
        <v/>
      </c>
    </row>
    <row r="67" spans="1:38" ht="15" thickBot="1">
      <c r="A67" s="90" t="s">
        <v>86</v>
      </c>
      <c r="B67" s="4"/>
      <c r="C67" s="92" t="str">
        <f>IF(-B67*C50,-B67*C50,"")</f>
        <v/>
      </c>
      <c r="D67" s="92" t="str">
        <f>IF(-B67*D50,-B67*D50,"")</f>
        <v/>
      </c>
      <c r="E67" s="92" t="str">
        <f>IF(-B67*E50,-B67*E50,"")</f>
        <v/>
      </c>
      <c r="F67" s="92" t="str">
        <f>IF(-B67*F50,-B67*F50,"")</f>
        <v/>
      </c>
      <c r="G67" s="92" t="str">
        <f>IF(-B67*G50,-B67*G50,"")</f>
        <v/>
      </c>
      <c r="H67" s="92" t="str">
        <f>IF(-B67*H50,-B67*H50,"")</f>
        <v/>
      </c>
      <c r="I67" s="92" t="str">
        <f>IF(-B67*I50,-B67*I50,"")</f>
        <v/>
      </c>
      <c r="J67" s="92" t="str">
        <f>IF(-B67*J50,-B67*J50,"")</f>
        <v/>
      </c>
      <c r="K67" s="92" t="str">
        <f>IF(-B67*K50,-B67*K50,"")</f>
        <v/>
      </c>
      <c r="L67" s="92" t="str">
        <f>IF(-B67*L50,-B67*L50,"")</f>
        <v/>
      </c>
      <c r="M67" s="92" t="str">
        <f>IF(-B67*M50,-B67*M50,"")</f>
        <v/>
      </c>
      <c r="N67" s="92" t="str">
        <f>IF(-B67*N50,-B67*N50,"")</f>
        <v/>
      </c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</row>
    <row r="68" spans="1:38" ht="18.600000000000001" thickBot="1">
      <c r="B68" s="78" t="s">
        <v>87</v>
      </c>
      <c r="C68" s="93">
        <f>SUM(C51:C52)+SUM(C66:C67)</f>
        <v>0</v>
      </c>
      <c r="D68" s="93">
        <f>SUM(D51:D53)+SUM(D66:D67)</f>
        <v>0</v>
      </c>
      <c r="E68" s="93">
        <f t="shared" ref="E68" si="15">SUM(E51:E53)+SUM(E66:E67)</f>
        <v>0</v>
      </c>
      <c r="F68" s="93">
        <f t="shared" ref="F68" si="16">SUM(F51:F53)+SUM(F66:F67)</f>
        <v>0</v>
      </c>
      <c r="G68" s="93">
        <f t="shared" ref="G68:N68" si="17">SUM(G51:G53)+SUM(G66:G67)</f>
        <v>0</v>
      </c>
      <c r="H68" s="93">
        <f t="shared" si="17"/>
        <v>0</v>
      </c>
      <c r="I68" s="93">
        <f t="shared" si="17"/>
        <v>0</v>
      </c>
      <c r="J68" s="93">
        <f t="shared" si="17"/>
        <v>0</v>
      </c>
      <c r="K68" s="93">
        <f t="shared" si="17"/>
        <v>0</v>
      </c>
      <c r="L68" s="93">
        <f t="shared" si="17"/>
        <v>0</v>
      </c>
      <c r="M68" s="93">
        <f t="shared" si="17"/>
        <v>0</v>
      </c>
      <c r="N68" s="93">
        <f t="shared" si="17"/>
        <v>0</v>
      </c>
      <c r="O68" s="94">
        <f>SUM(O52:O53)+SUM(O66)</f>
        <v>0</v>
      </c>
      <c r="P68" s="94">
        <f t="shared" ref="P68:Y68" si="18">SUM(P52:P53)+SUM(P66)</f>
        <v>0</v>
      </c>
      <c r="Q68" s="94">
        <f t="shared" si="18"/>
        <v>0</v>
      </c>
      <c r="R68" s="94">
        <f t="shared" si="18"/>
        <v>0</v>
      </c>
      <c r="S68" s="94">
        <f t="shared" si="18"/>
        <v>0</v>
      </c>
      <c r="T68" s="94">
        <f t="shared" si="18"/>
        <v>0</v>
      </c>
      <c r="U68" s="94">
        <f t="shared" si="18"/>
        <v>0</v>
      </c>
      <c r="V68" s="94">
        <f t="shared" si="18"/>
        <v>0</v>
      </c>
      <c r="W68" s="94">
        <f t="shared" si="18"/>
        <v>0</v>
      </c>
      <c r="X68" s="94">
        <f t="shared" si="18"/>
        <v>0</v>
      </c>
      <c r="Y68" s="94">
        <f t="shared" si="18"/>
        <v>0</v>
      </c>
      <c r="Z68" s="94">
        <f>SUM(Z53)+SUM(Z66)</f>
        <v>0</v>
      </c>
      <c r="AA68" s="95">
        <f t="shared" ref="AA68:AJ68" si="19">SUM(AA53)+SUM(AA66)</f>
        <v>0</v>
      </c>
      <c r="AB68" s="95">
        <f t="shared" si="19"/>
        <v>0</v>
      </c>
      <c r="AC68" s="95">
        <f t="shared" si="19"/>
        <v>0</v>
      </c>
      <c r="AD68" s="95">
        <f t="shared" si="19"/>
        <v>0</v>
      </c>
      <c r="AE68" s="95">
        <f t="shared" si="19"/>
        <v>0</v>
      </c>
      <c r="AF68" s="95">
        <f t="shared" si="19"/>
        <v>0</v>
      </c>
      <c r="AG68" s="95">
        <f t="shared" si="19"/>
        <v>0</v>
      </c>
      <c r="AH68" s="95">
        <f t="shared" si="19"/>
        <v>0</v>
      </c>
      <c r="AI68" s="95">
        <f t="shared" si="19"/>
        <v>0</v>
      </c>
      <c r="AJ68" s="95">
        <f t="shared" si="19"/>
        <v>0</v>
      </c>
    </row>
    <row r="69" spans="1:38" ht="18">
      <c r="B69" s="78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8">
      <c r="A70" s="86" t="str">
        <f>IF('Reverse Engineering Valuation'!A30 = "","    ---    ",'Reverse Engineering Valuation'!A30)</f>
        <v xml:space="preserve">    ---    </v>
      </c>
      <c r="B70" s="87" t="str">
        <f>IF(ROUND(B76,1)&gt;0,CONCATENATE("Under by ",ROUND(B76,1)), IF(ROUND(B76,1)&lt;0, CONCATENATE("OVER BY ",ROUND(B76,1)), "You Matched"))</f>
        <v>You Matched</v>
      </c>
      <c r="C70" s="85">
        <f t="shared" ref="C70:N70" si="20">C49</f>
        <v>45658</v>
      </c>
      <c r="D70" s="85">
        <f t="shared" si="20"/>
        <v>45689</v>
      </c>
      <c r="E70" s="85">
        <f t="shared" si="20"/>
        <v>45717</v>
      </c>
      <c r="F70" s="85">
        <f t="shared" si="20"/>
        <v>45748</v>
      </c>
      <c r="G70" s="85">
        <f t="shared" si="20"/>
        <v>45778</v>
      </c>
      <c r="H70" s="85">
        <f t="shared" si="20"/>
        <v>45809</v>
      </c>
      <c r="I70" s="85">
        <f t="shared" si="20"/>
        <v>45839</v>
      </c>
      <c r="J70" s="85">
        <f t="shared" si="20"/>
        <v>45870</v>
      </c>
      <c r="K70" s="85">
        <f t="shared" si="20"/>
        <v>45901</v>
      </c>
      <c r="L70" s="85">
        <f t="shared" si="20"/>
        <v>45931</v>
      </c>
      <c r="M70" s="85">
        <f t="shared" si="20"/>
        <v>45962</v>
      </c>
      <c r="N70" s="85">
        <f t="shared" si="20"/>
        <v>45992</v>
      </c>
      <c r="O70" s="88" t="str">
        <f t="shared" ref="O70:AJ70" si="21" xml:space="preserve">  CONCATENATE("Ext +", COLUMN()-14)</f>
        <v>Ext +1</v>
      </c>
      <c r="P70" s="88" t="str">
        <f t="shared" si="21"/>
        <v>Ext +2</v>
      </c>
      <c r="Q70" s="88" t="str">
        <f t="shared" si="21"/>
        <v>Ext +3</v>
      </c>
      <c r="R70" s="88" t="str">
        <f t="shared" si="21"/>
        <v>Ext +4</v>
      </c>
      <c r="S70" s="88" t="str">
        <f t="shared" si="21"/>
        <v>Ext +5</v>
      </c>
      <c r="T70" s="88" t="str">
        <f t="shared" si="21"/>
        <v>Ext +6</v>
      </c>
      <c r="U70" s="88" t="str">
        <f t="shared" si="21"/>
        <v>Ext +7</v>
      </c>
      <c r="V70" s="88" t="str">
        <f t="shared" si="21"/>
        <v>Ext +8</v>
      </c>
      <c r="W70" s="88" t="str">
        <f t="shared" si="21"/>
        <v>Ext +9</v>
      </c>
      <c r="X70" s="88" t="str">
        <f t="shared" si="21"/>
        <v>Ext +10</v>
      </c>
      <c r="Y70" s="88" t="str">
        <f t="shared" si="21"/>
        <v>Ext +11</v>
      </c>
      <c r="Z70" s="88" t="str">
        <f t="shared" si="21"/>
        <v>Ext +12</v>
      </c>
      <c r="AA70" s="89" t="str">
        <f t="shared" si="21"/>
        <v>Ext +13</v>
      </c>
      <c r="AB70" s="89" t="str">
        <f t="shared" si="21"/>
        <v>Ext +14</v>
      </c>
      <c r="AC70" s="89" t="str">
        <f t="shared" si="21"/>
        <v>Ext +15</v>
      </c>
      <c r="AD70" s="89" t="str">
        <f t="shared" si="21"/>
        <v>Ext +16</v>
      </c>
      <c r="AE70" s="89" t="str">
        <f t="shared" si="21"/>
        <v>Ext +17</v>
      </c>
      <c r="AF70" s="89" t="str">
        <f t="shared" si="21"/>
        <v>Ext +18</v>
      </c>
      <c r="AG70" s="89" t="str">
        <f t="shared" si="21"/>
        <v>Ext +19</v>
      </c>
      <c r="AH70" s="89" t="str">
        <f t="shared" si="21"/>
        <v>Ext +20</v>
      </c>
      <c r="AI70" s="89" t="str">
        <f t="shared" si="21"/>
        <v>Ext +21</v>
      </c>
      <c r="AJ70" s="89" t="str">
        <f t="shared" si="21"/>
        <v>Ext +22</v>
      </c>
    </row>
    <row r="71" spans="1:38">
      <c r="A71" s="90" t="str">
        <f>A50</f>
        <v xml:space="preserve">Number of customers @ </v>
      </c>
      <c r="B71" s="50">
        <f>'Reverse Engineering Valuation'!B30</f>
        <v>0</v>
      </c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1"/>
      <c r="AL71" s="1"/>
    </row>
    <row r="72" spans="1:38">
      <c r="A72" s="90" t="s">
        <v>80</v>
      </c>
      <c r="B72" s="52"/>
      <c r="C72" s="50" t="str">
        <f>IF(C71*B72*B71,C71*B72*B71,"")</f>
        <v/>
      </c>
      <c r="D72" s="50" t="str">
        <f>IF(D71*B72*B71,D71*B72*B71,"")</f>
        <v/>
      </c>
      <c r="E72" s="50" t="str">
        <f>IF(E71*B72*B71,E71*B72*B71,"")</f>
        <v/>
      </c>
      <c r="F72" s="50" t="str">
        <f>IF(F71*B72*B71,F71*B72*B71,"")</f>
        <v/>
      </c>
      <c r="G72" s="50" t="str">
        <f>IF(G71*B72*B71,G71*B72*B71,"")</f>
        <v/>
      </c>
      <c r="H72" s="50" t="str">
        <f>IF(H71*B72*B71,H71*B72*B71,"")</f>
        <v/>
      </c>
      <c r="I72" s="50" t="str">
        <f>IF(I71*B72*B71,I71*B72*B71,"")</f>
        <v/>
      </c>
      <c r="J72" s="50" t="str">
        <f>IF(J71*B72*B71,J71*B72*B71,"")</f>
        <v/>
      </c>
      <c r="K72" s="50" t="str">
        <f>IF(K71*B72*B71,K71*B72*B71,"")</f>
        <v/>
      </c>
      <c r="L72" s="50" t="str">
        <f>IF(L71*B72*B71,L71*B72*B71,"")</f>
        <v/>
      </c>
      <c r="M72" s="50" t="str">
        <f>IF(M71*B72*B71,M71*B72*B71,"")</f>
        <v/>
      </c>
      <c r="N72" s="50" t="str">
        <f>IF(N71*B72*B71,N71*B72*B71,"")</f>
        <v/>
      </c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1"/>
    </row>
    <row r="73" spans="1:38">
      <c r="A73" s="90" t="s">
        <v>81</v>
      </c>
      <c r="B73" s="53"/>
      <c r="C73" s="50" t="str">
        <f>IF(IF((COLUMN()-2-B73)&gt;0,INDEX(C71:Z71,1, (COLUMN()-2-B73)),0)&gt;=1,(B71* IF((COLUMN()-2-B73)&gt;0,INDEX(C71:Z71,1, (COLUMN()-2-B73)),0)*(1-B72))/(B74+1),"")</f>
        <v/>
      </c>
      <c r="D73" s="50" t="str">
        <f>IF(IF((COLUMN()-2-B73)&gt;0,INDEX(C71:Z71,1, (COLUMN()-2-B73)),0)&gt;=1,(B71* IF((COLUMN()-2-B73)&gt;0,INDEX(C71:Z71,1, (COLUMN()-2-B73)),0)*(1-B72))/(B74+1),"")</f>
        <v/>
      </c>
      <c r="E73" s="50" t="str">
        <f>IF(IF((COLUMN()-2-B73)&gt;0,INDEX(C71:Z71,1, (COLUMN()-2-B73)),0)&gt;=1,(B71* IF((COLUMN()-2-B73)&gt;0,INDEX(C71:Z71,1, (COLUMN()-2-B73)),0)*(1-B72))/(B74+1),"")</f>
        <v/>
      </c>
      <c r="F73" s="50" t="str">
        <f>IF(IF((COLUMN()-2-B73)&gt;0,INDEX(C71:Z71,1, (COLUMN()-2-B73)),0)&gt;=1,(B71* IF((COLUMN()-2-B73)&gt;0,INDEX(C71:Z71,1, (COLUMN()-2-B73)),0)*(1-B72))/(B74+1),"")</f>
        <v/>
      </c>
      <c r="G73" s="50" t="str">
        <f>IF(IF((COLUMN()-2-B73)&gt;0,INDEX(C71:Z71,1, (COLUMN()-2-B73)),0)&gt;=1,(B71* IF((COLUMN()-2-B73)&gt;0,INDEX(C71:Z71,1, (COLUMN()-2-B73)),0)*(1-B72))/(B74+1),"")</f>
        <v/>
      </c>
      <c r="H73" s="50" t="str">
        <f>IF(IF((COLUMN()-2-B73)&gt;0,INDEX(C71:Z71,1, (COLUMN()-2-B73)),0)&gt;=1,(B71* IF((COLUMN()-2-B73)&gt;0,INDEX(C71:Z71,1, (COLUMN()-2-B73)),0)*(1-B72))/(B74+1),"")</f>
        <v/>
      </c>
      <c r="I73" s="50" t="str">
        <f>IF(IF((COLUMN()-2-B73)&gt;0,INDEX(C71:Z71,1, (COLUMN()-2-B73)),0)&gt;=1,(B71* IF((COLUMN()-2-B73)&gt;0,INDEX(C71:Z71,1, (COLUMN()-2-B73)),0)*(1-B72))/(B74+1),"")</f>
        <v/>
      </c>
      <c r="J73" s="50" t="str">
        <f>IF(IF((COLUMN()-2-B73)&gt;0,INDEX(C71:Z71,1, (COLUMN()-2-B73)),0)&gt;=1,(B71* IF((COLUMN()-2-B73)&gt;0,INDEX(C71:Z71,1, (COLUMN()-2-B73)),0)*(1-B72))/(B74+1),"")</f>
        <v/>
      </c>
      <c r="K73" s="50" t="str">
        <f>IF(IF((COLUMN()-2-B73)&gt;0,INDEX(C71:Z71,1, (COLUMN()-2-B73)),0)&gt;=1,(B71* IF((COLUMN()-2-B73)&gt;0,INDEX(C71:Z71,1, (COLUMN()-2-B73)),0)*(1-B72))/(B74+1),"")</f>
        <v/>
      </c>
      <c r="L73" s="50" t="str">
        <f>IF(IF((COLUMN()-2-B73)&gt;0,INDEX(C71:Z71,1, (COLUMN()-2-B73)),0)&gt;=1,(B71* IF((COLUMN()-2-B73)&gt;0,INDEX(C71:Z71,1, (COLUMN()-2-B73)),0)*(1-B72))/(B74+1),"")</f>
        <v/>
      </c>
      <c r="M73" s="50" t="str">
        <f>IF(IF((COLUMN()-2-B73)&gt;0,INDEX(C71:Z71,1, (COLUMN()-2-B73)),0)&gt;=1,(B71* IF((COLUMN()-2-B73)&gt;0,INDEX(C71:Z71,1, (COLUMN()-2-B73)),0)*(1-B72))/(B74+1),"")</f>
        <v/>
      </c>
      <c r="N73" s="50" t="str">
        <f>IF(IF((COLUMN()-2-B73)&gt;0,INDEX(C71:Z71,1, (COLUMN()-2-B73)),0)&gt;=1,(B71* IF((COLUMN()-2-B73)&gt;0,INDEX(C71:Z71,1, (COLUMN()-2-B73)),0)*(1-B72))/(B74+1),"")</f>
        <v/>
      </c>
      <c r="O73" s="72" t="str">
        <f>IF(IF((COLUMN()-2-B73)&gt;0,INDEX(C71:Z71,1, (COLUMN()-2-B73)),0)&gt;=1,(B71* IF((COLUMN()-2-B73)&gt;0,INDEX(C71:Z71,1, (COLUMN()-2-B73)),0)*(1-B72))/(B74+1),"")</f>
        <v/>
      </c>
      <c r="P73" s="72" t="str">
        <f>IF(IF((COLUMN()-2-B73)&gt;0,INDEX(C71:Z71,1, (COLUMN()-2-B73)),0)&gt;=1,(B71* IF((COLUMN()-2-B73)&gt;0,INDEX(C71:Z71,1, (COLUMN()-2-B73)),0)*(1-B72))/(B74+1),"")</f>
        <v/>
      </c>
      <c r="Q73" s="72" t="str">
        <f>IF(IF((COLUMN()-2-B73)&gt;0,INDEX(C71:Z71,1, (COLUMN()-2-B73)),0)&gt;=1,(B71* IF((COLUMN()-2-B73)&gt;0,INDEX(C71:Z71,1, (COLUMN()-2-B73)),0)*(1-B72))/(B74+1),"")</f>
        <v/>
      </c>
      <c r="R73" s="72" t="str">
        <f>IF(IF((COLUMN()-2-B73)&gt;0,INDEX(C71:Z71,1, (COLUMN()-2-B73)),0)&gt;=1,(B71* IF((COLUMN()-2-B73)&gt;0,INDEX(C71:Z71,1, (COLUMN()-2-B73)),0)*(1-B72))/(B74+1),"")</f>
        <v/>
      </c>
      <c r="S73" s="72" t="str">
        <f>IF(IF((COLUMN()-2-B73)&gt;0,INDEX(C71:Z71,1, (COLUMN()-2-B73)),0)&gt;=1,(B71* IF((COLUMN()-2-B73)&gt;0,INDEX(C71:Z71,1, (COLUMN()-2-B73)),0)*(1-B72))/(B74+1),"")</f>
        <v/>
      </c>
      <c r="T73" s="72" t="str">
        <f>IF(IF((COLUMN()-2-B73)&gt;0,INDEX(C71:Z71,1, (COLUMN()-2-B73)),0)&gt;=1,(B71* IF((COLUMN()-2-B73)&gt;0,INDEX(C71:Z71,1, (COLUMN()-2-B73)),0)*(1-B72))/(B74+1),"")</f>
        <v/>
      </c>
      <c r="U73" s="72" t="str">
        <f>IF(IF((COLUMN()-2-B73)&gt;0,INDEX(C71:Z71,1, (COLUMN()-2-B73)),0)&gt;=1,(B71* IF((COLUMN()-2-B73)&gt;0,INDEX(C71:Z71,1, (COLUMN()-2-B73)),0)*(1-B72))/(B74+1),"")</f>
        <v/>
      </c>
      <c r="V73" s="72" t="str">
        <f>IF(IF((COLUMN()-2-B73)&gt;0,INDEX(C71:Z71,1, (COLUMN()-2-B73)),0)&gt;=1,(B71* IF((COLUMN()-2-B73)&gt;0,INDEX(C71:Z71,1, (COLUMN()-2-B73)),0)*(1-B72))/(B74+1),"")</f>
        <v/>
      </c>
      <c r="W73" s="72" t="str">
        <f>IF(IF((COLUMN()-2-B73)&gt;0,INDEX(C71:Z71,1, (COLUMN()-2-B73)),0)&gt;=1,(B71* IF((COLUMN()-2-B73)&gt;0,INDEX(C71:Z71,1, (COLUMN()-2-B73)),0)*(1-B72))/(B74+1),"")</f>
        <v/>
      </c>
      <c r="X73" s="72" t="str">
        <f>IF(IF((COLUMN()-2-B73)&gt;0,INDEX(C71:Z71,1, (COLUMN()-2-B73)),0)&gt;=1,(B71* IF((COLUMN()-2-B73)&gt;0,INDEX(C71:Z71,1, (COLUMN()-2-B73)),0)*(1-B72))/(B74+1),"")</f>
        <v/>
      </c>
      <c r="Y73" s="72" t="str">
        <f>IF(IF((COLUMN()-2-B73)&gt;0,INDEX(C71:Z71,1, (COLUMN()-2-B73)),0)&gt;=1,(B71* IF((COLUMN()-2-B73)&gt;0,INDEX(C71:Z71,1, (COLUMN()-2-B73)),0)*(1-B72))/(B74+1),"")</f>
        <v/>
      </c>
      <c r="Z73" s="91" t="str">
        <f>IF(IF((COLUMN()-2-B73)&gt;0,INDEX(C71:Z71,1, (COLUMN()-2-B73)),0)&gt;=1,(B71* IF((COLUMN()-2-B73)&gt;0,INDEX(C71:Z71,1, (COLUMN()-2-B73)),0)*(1-B72))/(B74+1),"")</f>
        <v/>
      </c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1"/>
    </row>
    <row r="74" spans="1:38">
      <c r="A74" s="90" t="s">
        <v>82</v>
      </c>
      <c r="B74" s="53"/>
      <c r="C74" s="91"/>
      <c r="D74" s="50" t="str">
        <f>IF(SUM(D75),SUM(D75),"")</f>
        <v/>
      </c>
      <c r="E74" s="50" t="str">
        <f>IF(SUM(E75:E76),SUM(E75:E76),"")</f>
        <v/>
      </c>
      <c r="F74" s="50" t="str">
        <f>IF(SUM(F75:F77),SUM(F75:F77),"")</f>
        <v/>
      </c>
      <c r="G74" s="50" t="str">
        <f>IF(SUM(G75:G78),SUM(G75:G78),"")</f>
        <v/>
      </c>
      <c r="H74" s="50" t="str">
        <f>IF(SUM(H75:H79),SUM(H75:H79),"")</f>
        <v/>
      </c>
      <c r="I74" s="50" t="str">
        <f>IF(SUM(I75:I80),SUM(I75:I80),"")</f>
        <v/>
      </c>
      <c r="J74" s="50" t="str">
        <f>IF(SUM(J75:J81),SUM(J75:J81),"")</f>
        <v/>
      </c>
      <c r="K74" s="50" t="str">
        <f>IF(SUM(K75:K82),SUM(K75:K82),"")</f>
        <v/>
      </c>
      <c r="L74" s="50" t="str">
        <f>IF(SUM(L75:L83),SUM(L75:L83),"")</f>
        <v/>
      </c>
      <c r="M74" s="50" t="str">
        <f>IF(SUM(M75:M84),SUM(M75:M84),"")</f>
        <v/>
      </c>
      <c r="N74" s="50" t="str">
        <f>IF(SUM(N75:N85),SUM(N75:N85),"")</f>
        <v/>
      </c>
      <c r="O74" s="72" t="str">
        <f t="shared" ref="O74:Z74" si="22">IF(SUM(O75:O86),SUM(O75:O86),"")</f>
        <v/>
      </c>
      <c r="P74" s="72" t="str">
        <f t="shared" si="22"/>
        <v/>
      </c>
      <c r="Q74" s="72" t="str">
        <f t="shared" si="22"/>
        <v/>
      </c>
      <c r="R74" s="72" t="str">
        <f t="shared" si="22"/>
        <v/>
      </c>
      <c r="S74" s="72" t="str">
        <f t="shared" si="22"/>
        <v/>
      </c>
      <c r="T74" s="72" t="str">
        <f t="shared" si="22"/>
        <v/>
      </c>
      <c r="U74" s="72" t="str">
        <f t="shared" si="22"/>
        <v/>
      </c>
      <c r="V74" s="72" t="str">
        <f t="shared" si="22"/>
        <v/>
      </c>
      <c r="W74" s="72" t="str">
        <f t="shared" si="22"/>
        <v/>
      </c>
      <c r="X74" s="72" t="str">
        <f t="shared" si="22"/>
        <v/>
      </c>
      <c r="Y74" s="72" t="str">
        <f t="shared" si="22"/>
        <v/>
      </c>
      <c r="Z74" s="72" t="str">
        <f t="shared" si="22"/>
        <v/>
      </c>
      <c r="AA74" s="74" t="str">
        <f>IF(SUM(AA77:AA86),SUM(AA77:AA86),"")</f>
        <v/>
      </c>
      <c r="AB74" s="74" t="str">
        <f>IF(SUM(AB78:AB86),SUM(AB78:AB86),"")</f>
        <v/>
      </c>
      <c r="AC74" s="74" t="str">
        <f>IF(SUM(AC79:AC86),SUM(AC79:AC86),"")</f>
        <v/>
      </c>
      <c r="AD74" s="74" t="str">
        <f>IF(SUM(AD80:AD86),SUM(AD80:AD86),"")</f>
        <v/>
      </c>
      <c r="AE74" s="74" t="str">
        <f>IF(SUM(AE81:AE86),SUM(AE81:AE86),"")</f>
        <v/>
      </c>
      <c r="AF74" s="74" t="str">
        <f>IF(SUM(AF82:AF86),SUM(AF82:AF86),"")</f>
        <v/>
      </c>
      <c r="AG74" s="74" t="str">
        <f>IF(SUM(AG83:AG86),SUM(AG83:AG86),"")</f>
        <v/>
      </c>
      <c r="AH74" s="74" t="str">
        <f>IF(SUM(AH84:AH86),SUM(AH84:AH86),"")</f>
        <v/>
      </c>
      <c r="AI74" s="74" t="str">
        <f>IF(SUM(AI85:AI86),SUM(AI85:AI86),"")</f>
        <v/>
      </c>
      <c r="AJ74" s="74" t="str">
        <f>IF(SUM(AJ86),SUM(AJ86),"")</f>
        <v/>
      </c>
      <c r="AK74" s="1"/>
      <c r="AL74" s="1"/>
    </row>
    <row r="75" spans="1:38" hidden="1">
      <c r="A75" s="90" t="s">
        <v>83</v>
      </c>
      <c r="B75" s="51">
        <f>IF('Reverse Engineering Valuation'!F30,'Reverse Engineering Valuation'!H30,'Reverse Engineering Valuation'!E30)</f>
        <v>0</v>
      </c>
      <c r="C75" s="91"/>
      <c r="D75" s="50" t="str">
        <f>IF(OR(NOT(C71),(COLUMN()-3)-(B73+1)&lt;0,(B73+1+B74) - (COLUMN()-2) &lt;0),"",C71*(1-B72)/(B74+1)*B71)</f>
        <v/>
      </c>
      <c r="E75" s="50" t="str">
        <f>IF(OR(NOT(C71),(COLUMN()-3)-(B73+1)&lt;0,(B73+1+B74) - (COLUMN()-2) &lt;0),"",C71*(1-B72)/(B74+1)*B71)</f>
        <v/>
      </c>
      <c r="F75" s="50" t="str">
        <f>IF(OR(NOT(C71),(COLUMN()-3)-(B73+1)&lt;0,(B73+1+B74) - (COLUMN()-2) &lt;0),"",C71*(1-B72)/(B74+1)*B71)</f>
        <v/>
      </c>
      <c r="G75" s="50" t="str">
        <f>IF(OR(NOT(C71),(COLUMN()-3)-(B73+1)&lt;0,(B73+1+B74) - (COLUMN()-2) &lt;0),"",C71*(1-B72)/(B74+1)*B71)</f>
        <v/>
      </c>
      <c r="H75" s="50" t="str">
        <f>IF(OR(NOT(C71),(COLUMN()-3)-(B73+1)&lt;0,(B73+1+B74) - (COLUMN()-2) &lt;0),"",C71*(1-B72)/(B74+1)*B71)</f>
        <v/>
      </c>
      <c r="I75" s="50" t="str">
        <f>IF(OR(NOT(C71),(COLUMN()-3)-(B73+1)&lt;0,(B73+1+B74) - (COLUMN()-2) &lt;0),"",C71*(1-B72)/(B74+1)*B71)</f>
        <v/>
      </c>
      <c r="J75" s="50" t="str">
        <f>IF(OR(NOT(C71),(COLUMN()-3)-(B73+1)&lt;0,(B73+1+B74) - (COLUMN()-2) &lt;0),"",C71*(1-B72)/(B74+1)*B71)</f>
        <v/>
      </c>
      <c r="K75" s="50" t="str">
        <f>IF(OR(NOT(C71),(COLUMN()-3)-(B73+1)&lt;0,(B73+1+B74) - (COLUMN()-2) &lt;0),"",C71*(1-B72)/(B74+1)*B71)</f>
        <v/>
      </c>
      <c r="L75" s="50" t="str">
        <f>IF(OR(NOT(C71),(COLUMN()-3)-(B73+1)&lt;0,(B73+1+B74) - (COLUMN()-2) &lt;0),"",C71*(1-B72)/(B74+1)*B71)</f>
        <v/>
      </c>
      <c r="M75" s="50" t="str">
        <f>IF(OR(NOT(C71),(COLUMN()-3)-(B73+1)&lt;0,(B73+1+B74) - (COLUMN()-2) &lt;0),"",C71*(1-B72)/(B74+1)*B71)</f>
        <v/>
      </c>
      <c r="N75" s="50" t="str">
        <f>IF(OR(NOT(C71),(COLUMN()-3)-(B73+1)&lt;0,(B73+1+B74) - (COLUMN()-2) &lt;0),"",C71*(1-B72)/(B74+1)*B71)</f>
        <v/>
      </c>
      <c r="O75" s="72" t="str">
        <f>IF(OR(NOT(C71),(COLUMN()-3)-(B73+1)&lt;0,(B73+1+B74) - (COLUMN()-2) &lt;0),"",C71*(1-B72)/(B74+1)*B71)</f>
        <v/>
      </c>
      <c r="P75" s="72" t="str">
        <f>IF(OR(NOT(C71),(COLUMN()-3)-(B73+1)&lt;0,(B73+1+B74) - (COLUMN()-2) &lt;0),"",C71*(1-B72)/(B74+1)*B71)</f>
        <v/>
      </c>
      <c r="Q75" s="72" t="str">
        <f>IF(OR(NOT(C71),(COLUMN()-3)-(B73+1)&lt;0,(B73+1+B74) - (COLUMN()-2) &lt;0),"",C71*(1-B72)/(B74+1)*B71)</f>
        <v/>
      </c>
      <c r="R75" s="72" t="str">
        <f>IF(OR(NOT(C71),(COLUMN()-3)-(B73+1)&lt;0,(B73+1+B74) - (COLUMN()-2) &lt;0),"",C71*(1-B72)/(B74+1)*B71)</f>
        <v/>
      </c>
      <c r="S75" s="72" t="str">
        <f>IF(OR(NOT(C71),(COLUMN()-3)-(B73+1)&lt;0,(B73+1+B74) - (COLUMN()-2) &lt;0),"",C71*(1-B72)/(B74+1)*B71)</f>
        <v/>
      </c>
      <c r="T75" s="72" t="str">
        <f>IF(OR(NOT(C71),(COLUMN()-3)-(B73+1)&lt;0,(B73+1+B74) - (COLUMN()-2) &lt;0),"",C71*(1-B72)/(B74+1)*B71)</f>
        <v/>
      </c>
      <c r="U75" s="72" t="str">
        <f>IF(OR(NOT(C71),(COLUMN()-3)-(B73+1)&lt;0,(B73+1+B74) - (COLUMN()-2) &lt;0),"",C71*(1-B72)/(B74+1)*B71)</f>
        <v/>
      </c>
      <c r="V75" s="72" t="str">
        <f>IF(OR(NOT(C71),(COLUMN()-3)-(B73+1)&lt;0,(B73+1+B74) - (COLUMN()-2) &lt;0),"",C71*(1-B72)/(B74+1)*B71)</f>
        <v/>
      </c>
      <c r="W75" s="72" t="str">
        <f>IF(OR(NOT(C71),(COLUMN()-3)-(B73+1)&lt;0,(B73+1+B74) - (COLUMN()-2) &lt;0),"",C71*(1-B72)/(B74+1)*B71)</f>
        <v/>
      </c>
      <c r="X75" s="72" t="str">
        <f>IF(OR(NOT(C71),(COLUMN()-3)-(B73+1)&lt;0,(B73+1+B74) - (COLUMN()-2) &lt;0),"",C71*(1-B72)/(B74+1)*B71)</f>
        <v/>
      </c>
      <c r="Y75" s="72" t="str">
        <f>IF(OR(NOT(C71),(COLUMN()-3)-(B73+1)&lt;0,(B73+1+B74) - (COLUMN()-2) &lt;0),"",C71*(1-B72)/(B74+1)*B71)</f>
        <v/>
      </c>
      <c r="Z75" s="72" t="str">
        <f>IF(OR(NOT(C71),(COLUMN()-3)-(B73+1)&lt;0,(B73+1+B74) - (COLUMN()-2) &lt;0),"",C71*(1-B72)/(B74+1)*B71)</f>
        <v/>
      </c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1"/>
    </row>
    <row r="76" spans="1:38" hidden="1">
      <c r="A76" s="90" t="s">
        <v>84</v>
      </c>
      <c r="B76" s="54">
        <f>B75-SUM(C71:N71)</f>
        <v>0</v>
      </c>
      <c r="C76" s="91"/>
      <c r="D76" s="91"/>
      <c r="E76" s="50" t="str">
        <f>IF(OR(NOT(D71),(COLUMN()-3)-(B73+2)&lt;0,(B73+2 +B74) - (COLUMN()-2) &lt;0),"",D71*(1-B72)/(B74+1)*B71)</f>
        <v/>
      </c>
      <c r="F76" s="50" t="str">
        <f>IF(OR(NOT(D71),(COLUMN()-3)-(B73+2)&lt;0,(B73+2 +B74) - (COLUMN()-2) &lt;0),"",D71*(1-B72)/(B74+1)*B71)</f>
        <v/>
      </c>
      <c r="G76" s="50" t="str">
        <f>IF(OR(NOT(D71),(COLUMN()-3)-(B73+2)&lt;0,(B73+2 +B74) - (COLUMN()-2) &lt;0),"",D71*(1-B72)/(B74+1)*B71)</f>
        <v/>
      </c>
      <c r="H76" s="50" t="str">
        <f>IF(OR(NOT(D71),(COLUMN()-3)-(B73+2)&lt;0,(B73+2 +B74) - (COLUMN()-2) &lt;0),"",D71*(1-B72)/(B74+1)*B71)</f>
        <v/>
      </c>
      <c r="I76" s="50" t="str">
        <f>IF(OR(NOT(D71),(COLUMN()-3)-(B73+2)&lt;0,(B73+2 +B74) - (COLUMN()-2) &lt;0),"",D71*(1-B72)/(B74+1)*B71)</f>
        <v/>
      </c>
      <c r="J76" s="50" t="str">
        <f>IF(OR(NOT(D71),(COLUMN()-3)-(B73+2)&lt;0,(B73+2 +B74) - (COLUMN()-2) &lt;0),"",D71*(1-B72)/(B74+1)*B71)</f>
        <v/>
      </c>
      <c r="K76" s="50" t="str">
        <f>IF(OR(NOT(D71),(COLUMN()-3)-(B73+2)&lt;0,(B73+2 +B74) - (COLUMN()-2) &lt;0),"",D71*(1-B72)/(B74+1)*B71)</f>
        <v/>
      </c>
      <c r="L76" s="50" t="str">
        <f>IF(OR(NOT(D71),(COLUMN()-3)-(B73+2)&lt;0,(B73+2 +B74) - (COLUMN()-2) &lt;0),"",D71*(1-B72)/(B74+1)*B71)</f>
        <v/>
      </c>
      <c r="M76" s="50" t="str">
        <f>IF(OR(NOT(D71),(COLUMN()-3)-(B73+2)&lt;0,(B73+2 +B74) - (COLUMN()-2) &lt;0),"",D71*(1-B72)/(B74+1)*B71)</f>
        <v/>
      </c>
      <c r="N76" s="50" t="str">
        <f>IF(OR(NOT(D71),(COLUMN()-3)-(B73+2)&lt;0,(B73+2 +B74) - (COLUMN()-2) &lt;0),"",D71*(1-B72)/(B74+1)*B71)</f>
        <v/>
      </c>
      <c r="O76" s="72" t="str">
        <f>IF(OR(NOT(D71),(COLUMN()-3)-(B73+2)&lt;0,(B73+2 +B74) - (COLUMN()-2) &lt;0),"",D71*(1-B72)/(B74+1)*B71)</f>
        <v/>
      </c>
      <c r="P76" s="72" t="str">
        <f>IF(OR(NOT(D71),(COLUMN()-3)-(B73+2)&lt;0,(B73+2 +B74) - (COLUMN()-2) &lt;0),"",D71*(1-B72)/(B74+1)*B71)</f>
        <v/>
      </c>
      <c r="Q76" s="72" t="str">
        <f>IF(OR(NOT(D71),(COLUMN()-3)-(B73+2)&lt;0,(B73+2 +B74) - (COLUMN()-2) &lt;0),"",D71*(1-B72)/(B74+1)*B71)</f>
        <v/>
      </c>
      <c r="R76" s="72" t="str">
        <f>IF(OR(NOT(D71),(COLUMN()-3)-(B73+2)&lt;0,(B73+2 +B74) - (COLUMN()-2) &lt;0),"",D71*(1-B72)/(B74+1)*B71)</f>
        <v/>
      </c>
      <c r="S76" s="72" t="str">
        <f>IF(OR(NOT(D71),(COLUMN()-3)-(B73+2)&lt;0,(B73+2 +B74) - (COLUMN()-2) &lt;0),"",D71*(1-B72)/(B74+1)*B71)</f>
        <v/>
      </c>
      <c r="T76" s="72" t="str">
        <f>IF(OR(NOT(D71),(COLUMN()-3)-(B73+2)&lt;0,(B73+2 +B74) - (COLUMN()-2) &lt;0),"",D71*(1-B72)/(B74+1)*B71)</f>
        <v/>
      </c>
      <c r="U76" s="72" t="str">
        <f>IF(OR(NOT(D71),(COLUMN()-3)-(B73+2)&lt;0,(B73+2 +B74) - (COLUMN()-2) &lt;0),"",D71*(1-B72)/(B74+1)*B71)</f>
        <v/>
      </c>
      <c r="V76" s="72" t="str">
        <f>IF(OR(NOT(D71),(COLUMN()-3)-(B73+2)&lt;0,(B73+2 +B74) - (COLUMN()-2) &lt;0),"",D71*(1-B72)/(B74+1)*B71)</f>
        <v/>
      </c>
      <c r="W76" s="72" t="str">
        <f>IF(OR(NOT(D71),(COLUMN()-3)-(B73+2)&lt;0,(B73+2 +B74) - (COLUMN()-2) &lt;0),"",D71*(1-B72)/(B74+1)*B71)</f>
        <v/>
      </c>
      <c r="X76" s="72" t="str">
        <f>IF(OR(NOT(D71),(COLUMN()-3)-(B73+2)&lt;0,(B73+2 +B74) - (COLUMN()-2) &lt;0),"",D71*(1-B72)/(B74+1)*B71)</f>
        <v/>
      </c>
      <c r="Y76" s="72" t="str">
        <f>IF(OR(NOT(D71),(COLUMN()-3)-(B73+2)&lt;0,(B73+2 +B74) - (COLUMN()-2) &lt;0),"",D71*(1-B72)/(B74+1)*B71)</f>
        <v/>
      </c>
      <c r="Z76" s="72" t="str">
        <f>IF(OR(NOT(D71),(COLUMN()-3)-(B73+2)&lt;0,(B73+2 +B74) - (COLUMN()-2) &lt;0),"",D71*(1-B72)/(B74+1)*B71)</f>
        <v/>
      </c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1"/>
    </row>
    <row r="77" spans="1:38" hidden="1">
      <c r="A77" s="91"/>
      <c r="B77" s="91"/>
      <c r="C77" s="91"/>
      <c r="D77" s="91"/>
      <c r="E77" s="91"/>
      <c r="F77" s="50" t="str">
        <f>IF(OR(NOT(E71),(COLUMN()-3)-(B73+3)&lt;0,(B73+3+B74) - (COLUMN()-2) &lt;0),"",E71*(1-B72)/(B74+1)*B71)</f>
        <v/>
      </c>
      <c r="G77" s="50" t="str">
        <f>IF(OR(NOT(E71),(COLUMN()-3)-(B73+3)&lt;0,(B73+3+B74) - (COLUMN()-2) &lt;0),"",E71*(1-B72)/(B74+1)*B71)</f>
        <v/>
      </c>
      <c r="H77" s="50" t="str">
        <f>IF(OR(NOT(E71),(COLUMN()-3)-(B73+3)&lt;0,(B73+3+B74) - (COLUMN()-2) &lt;0),"",E71*(1-B72)/(B74+1)*B71)</f>
        <v/>
      </c>
      <c r="I77" s="50" t="str">
        <f>IF(OR(NOT(E71),(COLUMN()-3)-(B73+3)&lt;0,(B73+3+B74) - (COLUMN()-2) &lt;0),"",E71*(1-B72)/(B74+1)*B71)</f>
        <v/>
      </c>
      <c r="J77" s="50" t="str">
        <f>IF(OR(NOT(E71),(COLUMN()-3)-(B73+3)&lt;0,(B73+3+B74) - (COLUMN()-2) &lt;0),"",E71*(1-B72)/(B74+1)*B71)</f>
        <v/>
      </c>
      <c r="K77" s="50" t="str">
        <f>IF(OR(NOT(E71),(COLUMN()-3)-(B73+3)&lt;0,(B73+3+B74) - (COLUMN()-2) &lt;0),"",E71*(1-B72)/(B74+1)*B71)</f>
        <v/>
      </c>
      <c r="L77" s="50" t="str">
        <f>IF(OR(NOT(E71),(COLUMN()-3)-(B73+3)&lt;0,(B73+3+B74) - (COLUMN()-2) &lt;0),"",E71*(1-B72)/(B74+1)*B71)</f>
        <v/>
      </c>
      <c r="M77" s="50" t="str">
        <f>IF(OR(NOT(E71),(COLUMN()-3)-(B73+3)&lt;0,(B73+3+B74) - (COLUMN()-2) &lt;0),"",E71*(1-B72)/(B74+1)*B71)</f>
        <v/>
      </c>
      <c r="N77" s="50" t="str">
        <f>IF(OR(NOT(E71),(COLUMN()-3)-(B73+3)&lt;0,(B73+3+B74) - (COLUMN()-2) &lt;0),"",E71*(1-B72)/(B74+1)*B71)</f>
        <v/>
      </c>
      <c r="O77" s="72" t="str">
        <f>IF(OR(NOT(E71),(COLUMN()-3)-(B73+3)&lt;0,(B73+3+B74) - (COLUMN()-2) &lt;0),"",E71*(1-B72)/(B74+1)*B71)</f>
        <v/>
      </c>
      <c r="P77" s="72" t="str">
        <f>IF(OR(NOT(E71),(COLUMN()-3)-(B73+3)&lt;0,(B73+3+B74) - (COLUMN()-2) &lt;0),"",E71*(1-B72)/(B74+1)*B71)</f>
        <v/>
      </c>
      <c r="Q77" s="72" t="str">
        <f>IF(OR(NOT(E71),(COLUMN()-3)-(B73+3)&lt;0,(B73+3+B74) - (COLUMN()-2) &lt;0),"",E71*(1-B72)/(B74+1)*B71)</f>
        <v/>
      </c>
      <c r="R77" s="72" t="str">
        <f>IF(OR(NOT(E71),(COLUMN()-3)-(B73+3)&lt;0,(B73+3+B74) - (COLUMN()-2) &lt;0),"",E71*(1-B72)/(B74+1)*B71)</f>
        <v/>
      </c>
      <c r="S77" s="72" t="str">
        <f>IF(OR(NOT(E71),(COLUMN()-3)-(B73+3)&lt;0,(B73+3+B74) - (COLUMN()-2) &lt;0),"",E71*(1-B72)/(B74+1)*B71)</f>
        <v/>
      </c>
      <c r="T77" s="72" t="str">
        <f>IF(OR(NOT(E71),(COLUMN()-3)-(B73+3)&lt;0,(B73+3+B74) - (COLUMN()-2) &lt;0),"",E71*(1-B72)/(B74+1)*B71)</f>
        <v/>
      </c>
      <c r="U77" s="72" t="str">
        <f>IF(OR(NOT(E71),(COLUMN()-3)-(B73+3)&lt;0,(B73+3+B74) - (COLUMN()-2) &lt;0),"",E71*(1-B72)/(B74+1)*B71)</f>
        <v/>
      </c>
      <c r="V77" s="72" t="str">
        <f>IF(OR(NOT(E71),(COLUMN()-3)-(B73+3)&lt;0,(B73+3+B74) - (COLUMN()-2) &lt;0),"",E71*(1-B72)/(B74+1)*B71)</f>
        <v/>
      </c>
      <c r="W77" s="72" t="str">
        <f>IF(OR(NOT(E71),(COLUMN()-3)-(B73+3)&lt;0,(B73+3+B74) - (COLUMN()-2) &lt;0),"",E71*(1-B72)/(B74+1)*B71)</f>
        <v/>
      </c>
      <c r="X77" s="72" t="str">
        <f>IF(OR(NOT(E71),(COLUMN()-3)-(B73+3)&lt;0,(B73+3+B74) - (COLUMN()-2) &lt;0),"",E71*(1-B72)/(B74+1)*B71)</f>
        <v/>
      </c>
      <c r="Y77" s="72" t="str">
        <f>IF(OR(NOT(E71),(COLUMN()-3)-(B73+3)&lt;0,(B73+3+B74) - (COLUMN()-2) &lt;0),"",E71*(1-B72)/(B74+1)*B71)</f>
        <v/>
      </c>
      <c r="Z77" s="72" t="str">
        <f>IF(OR(NOT(E71),(COLUMN()-3)-(B73+3)&lt;0,(B73+3+B74) - (COLUMN()-2) &lt;0),"",E71*(1-B72)/(B74+1)*B71)</f>
        <v/>
      </c>
      <c r="AA77" s="74" t="str">
        <f>IF(OR(NOT(E71),(COLUMN()-3)-(B73+3)&lt;0,(B73+3+B74) - (COLUMN()-2) &lt;0),"",E71*(1-B72)/(B74+1)*B71)</f>
        <v/>
      </c>
      <c r="AB77" s="91"/>
      <c r="AC77" s="91"/>
      <c r="AD77" s="91"/>
      <c r="AE77" s="91"/>
      <c r="AF77" s="91"/>
      <c r="AG77" s="91"/>
      <c r="AH77" s="91"/>
      <c r="AI77" s="91"/>
      <c r="AJ77" s="91"/>
    </row>
    <row r="78" spans="1:38" hidden="1">
      <c r="A78" s="91"/>
      <c r="B78" s="91"/>
      <c r="C78" s="91"/>
      <c r="D78" s="91"/>
      <c r="E78" s="91"/>
      <c r="F78" s="91"/>
      <c r="G78" s="50" t="str">
        <f>IF(OR(NOT(F71),(COLUMN()-3)-(B73+4)&lt;0,(B73+4+B74) - (COLUMN()-2) &lt;0),"",F71*(1-B72)/(B74+1)*B71)</f>
        <v/>
      </c>
      <c r="H78" s="50" t="str">
        <f>IF(OR(NOT(F71),(COLUMN()-3)-(B73+4)&lt;0,(B73+4+B74) - (COLUMN()-2) &lt;0),"",F71*(1-B72)/(B74+1)*B71)</f>
        <v/>
      </c>
      <c r="I78" s="50" t="str">
        <f>IF(OR(NOT(F71),(COLUMN()-3)-(B73+4)&lt;0,(B73+4+B74) - (COLUMN()-2) &lt;0),"",F71*(1-B72)/(B74+1)*B71)</f>
        <v/>
      </c>
      <c r="J78" s="50" t="str">
        <f>IF(OR(NOT(F71),(COLUMN()-3)-(B73+4)&lt;0,(B73+4+B74) - (COLUMN()-2) &lt;0),"",F71*(1-B72)/(B74+1)*B71)</f>
        <v/>
      </c>
      <c r="K78" s="50" t="str">
        <f>IF(OR(NOT(F71),(COLUMN()-3)-(B73+4)&lt;0,(B73+4+B74) - (COLUMN()-2) &lt;0),"",F71*(1-B72)/(B74+1)*B71)</f>
        <v/>
      </c>
      <c r="L78" s="50" t="str">
        <f>IF(OR(NOT(F71),(COLUMN()-3)-(B73+4)&lt;0,(B73+4+B74) - (COLUMN()-2) &lt;0),"",F71*(1-B72)/(B74+1)*B71)</f>
        <v/>
      </c>
      <c r="M78" s="50" t="str">
        <f>IF(OR(NOT(F71),(COLUMN()-3)-(B73+4)&lt;0,(B73+4+B74) - (COLUMN()-2) &lt;0),"",F71*(1-B72)/(B74+1)*B71)</f>
        <v/>
      </c>
      <c r="N78" s="50" t="str">
        <f>IF(OR(NOT(F71),(COLUMN()-3)-(B73+4)&lt;0,(B73+4+B74) - (COLUMN()-2) &lt;0),"",F71*(1-B72)/(B74+1)*B71)</f>
        <v/>
      </c>
      <c r="O78" s="72" t="str">
        <f>IF(OR(NOT(F71),(COLUMN()-3)-(B73+4)&lt;0,(B73+4+B74) - (COLUMN()-2) &lt;0),"",F71*(1-B72)/(B74+1)*B71)</f>
        <v/>
      </c>
      <c r="P78" s="72" t="str">
        <f>IF(OR(NOT(F71),(COLUMN()-3)-(B73+4)&lt;0,(B73+4+B74) - (COLUMN()-2) &lt;0),"",F71*(1-B72)/(B74+1)*B71)</f>
        <v/>
      </c>
      <c r="Q78" s="72" t="str">
        <f>IF(OR(NOT(F71),(COLUMN()-3)-(B73+4)&lt;0,(B73+4+B74) - (COLUMN()-2) &lt;0),"",F71*(1-B72)/(B74+1)*B71)</f>
        <v/>
      </c>
      <c r="R78" s="72" t="str">
        <f>IF(OR(NOT(F71),(COLUMN()-3)-(B73+4)&lt;0,(B73+4+B74) - (COLUMN()-2) &lt;0),"",F71*(1-B72)/(B74+1)*B71)</f>
        <v/>
      </c>
      <c r="S78" s="72" t="str">
        <f>IF(OR(NOT(F71),(COLUMN()-3)-(B73+4)&lt;0,(B73+4+B74) - (COLUMN()-2) &lt;0),"",F71*(1-B72)/(B74+1)*B71)</f>
        <v/>
      </c>
      <c r="T78" s="72" t="str">
        <f>IF(OR(NOT(F71),(COLUMN()-3)-(B73+4)&lt;0,(B73+4+B74) - (COLUMN()-2) &lt;0),"",F71*(1-B72)/(B74+1)*B71)</f>
        <v/>
      </c>
      <c r="U78" s="72" t="str">
        <f>IF(OR(NOT(F71),(COLUMN()-3)-(B73+4)&lt;0,(B73+4+B74) - (COLUMN()-2) &lt;0),"",F71*(1-B72)/(B74+1)*B71)</f>
        <v/>
      </c>
      <c r="V78" s="72" t="str">
        <f>IF(OR(NOT(F71),(COLUMN()-3)-(B73+4)&lt;0,(B73+4+B74) - (COLUMN()-2) &lt;0),"",F71*(1-B72)/(B74+1)*B71)</f>
        <v/>
      </c>
      <c r="W78" s="72" t="str">
        <f>IF(OR(NOT(F71),(COLUMN()-3)-(B73+4)&lt;0,(B73+4+B74) - (COLUMN()-2) &lt;0),"",F71*(1-B72)/(B74+1)*B71)</f>
        <v/>
      </c>
      <c r="X78" s="72" t="str">
        <f>IF(OR(NOT(F71),(COLUMN()-3)-(B73+4)&lt;0,(B73+4+B74) - (COLUMN()-2) &lt;0),"",F71*(1-B72)/(B74+1)*B71)</f>
        <v/>
      </c>
      <c r="Y78" s="72" t="str">
        <f>IF(OR(NOT(F71),(COLUMN()-3)-(B73+4)&lt;0,(B73+4+B74) - (COLUMN()-2) &lt;0),"",F71*(1-B72)/(B74+1)*B71)</f>
        <v/>
      </c>
      <c r="Z78" s="72" t="str">
        <f>IF(OR(NOT(F71),(COLUMN()-3)-(B73+4)&lt;0,(B73+4+B74) - (COLUMN()-2) &lt;0),"",F71*(1-B72)/(B74+1)*B71)</f>
        <v/>
      </c>
      <c r="AA78" s="74" t="str">
        <f>IF(OR(NOT(F71),(COLUMN()-3)-(B73+4)&lt;0,(B73+4+B74) - (COLUMN()-2) &lt;0),"",F71*(1-B72)/(B74+1)*B71)</f>
        <v/>
      </c>
      <c r="AB78" s="74" t="str">
        <f>IF(OR(NOT(F71),(COLUMN()-3)-(B73+4)&lt;0,(B73+4+B74) - (COLUMN()-2) &lt;0),"",F71*(1-B72)/(B74+1)*B71)</f>
        <v/>
      </c>
      <c r="AC78" s="91"/>
      <c r="AD78" s="91"/>
      <c r="AE78" s="91"/>
      <c r="AF78" s="91"/>
      <c r="AG78" s="91"/>
      <c r="AH78" s="91"/>
      <c r="AI78" s="91"/>
      <c r="AJ78" s="91"/>
    </row>
    <row r="79" spans="1:38" hidden="1">
      <c r="A79" s="91"/>
      <c r="B79" s="91"/>
      <c r="C79" s="91"/>
      <c r="D79" s="91"/>
      <c r="E79" s="91"/>
      <c r="F79" s="91"/>
      <c r="G79" s="91"/>
      <c r="H79" s="50" t="str">
        <f>IF(OR(NOT(G71),(COLUMN()-3)-(B73+5)&lt;0,(B73+5+B74) - (COLUMN()-2) &lt;0),"",G71*(1-B72)/(B74+1)*B71)</f>
        <v/>
      </c>
      <c r="I79" s="50" t="str">
        <f>IF(OR(NOT(G71),(COLUMN()-3)-(B73+5)&lt;0,(B73+5+B74) - (COLUMN()-2) &lt;0),"",G71*(1-B72)/(B74+1)*B71)</f>
        <v/>
      </c>
      <c r="J79" s="50" t="str">
        <f>IF(OR(NOT(G71),(COLUMN()-3)-(B73+5)&lt;0,(B73+5+B74) - (COLUMN()-2) &lt;0),"",G71*(1-B72)/(B74+1)*B71)</f>
        <v/>
      </c>
      <c r="K79" s="50" t="str">
        <f>IF(OR(NOT(G71),(COLUMN()-3)-(B73+5)&lt;0,(B73+5+B74) - (COLUMN()-2) &lt;0),"",G71*(1-B72)/(B74+1)*B71)</f>
        <v/>
      </c>
      <c r="L79" s="50" t="str">
        <f>IF(OR(NOT(G71),(COLUMN()-3)-(B73+5)&lt;0,(B73+5+B74) - (COLUMN()-2) &lt;0),"",G71*(1-B72)/(B74+1)*B71)</f>
        <v/>
      </c>
      <c r="M79" s="50" t="str">
        <f>IF(OR(NOT(G71),(COLUMN()-3)-(B73+5)&lt;0,(B73+5+B74) - (COLUMN()-2) &lt;0),"",G71*(1-B72)/(B74+1)*B71)</f>
        <v/>
      </c>
      <c r="N79" s="50" t="str">
        <f>IF(OR(NOT(G71),(COLUMN()-3)-(B73+5)&lt;0,(B73+5+B74) - (COLUMN()-2) &lt;0),"",G71*(1-B72)/(B74+1)*B71)</f>
        <v/>
      </c>
      <c r="O79" s="72" t="str">
        <f>IF(OR(NOT(G71),(COLUMN()-3)-(B73+5)&lt;0,(B73+5+B74) - (COLUMN()-2) &lt;0),"",G71*(1-B72)/(B74+1)*B71)</f>
        <v/>
      </c>
      <c r="P79" s="72" t="str">
        <f>IF(OR(NOT(G71),(COLUMN()-3)-(B73+5)&lt;0,(B73+5+B74) - (COLUMN()-2) &lt;0),"",G71*(1-B72)/(B74+1)*B71)</f>
        <v/>
      </c>
      <c r="Q79" s="72" t="str">
        <f>IF(OR(NOT(G71),(COLUMN()-3)-(B73+5)&lt;0,(B73+5+B74) - (COLUMN()-2) &lt;0),"",G71*(1-B72)/(B74+1)*B71)</f>
        <v/>
      </c>
      <c r="R79" s="72" t="str">
        <f>IF(OR(NOT(G71),(COLUMN()-3)-(B73+5)&lt;0,(B73+5+B74) - (COLUMN()-2) &lt;0),"",G71*(1-B72)/(B74+1)*B71)</f>
        <v/>
      </c>
      <c r="S79" s="72" t="str">
        <f>IF(OR(NOT(G71),(COLUMN()-3)-(B73+5)&lt;0,(B73+5+B74) - (COLUMN()-2) &lt;0),"",G71*(1-B72)/(B74+1)*B71)</f>
        <v/>
      </c>
      <c r="T79" s="72" t="str">
        <f>IF(OR(NOT(G71),(COLUMN()-3)-(B73+5)&lt;0,(B73+5+B74) - (COLUMN()-2) &lt;0),"",G71*(1-B72)/(B74+1)*B71)</f>
        <v/>
      </c>
      <c r="U79" s="72" t="str">
        <f>IF(OR(NOT(G71),(COLUMN()-3)-(B73+5)&lt;0,(B73+5+B74) - (COLUMN()-2) &lt;0),"",G71*(1-B72)/(B74+1)*B71)</f>
        <v/>
      </c>
      <c r="V79" s="72" t="str">
        <f>IF(OR(NOT(G71),(COLUMN()-3)-(B73+5)&lt;0,(B73+5+B74) - (COLUMN()-2) &lt;0),"",G71*(1-B72)/(B74+1)*B71)</f>
        <v/>
      </c>
      <c r="W79" s="72" t="str">
        <f>IF(OR(NOT(G71),(COLUMN()-3)-(B73+5)&lt;0,(B73+5+B74) - (COLUMN()-2) &lt;0),"",G71*(1-B72)/(B74+1)*B71)</f>
        <v/>
      </c>
      <c r="X79" s="72" t="str">
        <f>IF(OR(NOT(G71),(COLUMN()-3)-(B73+5)&lt;0,(B73+5+B74) - (COLUMN()-2) &lt;0),"",G71*(1-B72)/(B74+1)*B71)</f>
        <v/>
      </c>
      <c r="Y79" s="72" t="str">
        <f>IF(OR(NOT(G71),(COLUMN()-3)-(B73+5)&lt;0,(B73+5+B74) - (COLUMN()-2) &lt;0),"",G71*(1-B72)/(B74+1)*B71)</f>
        <v/>
      </c>
      <c r="Z79" s="72" t="str">
        <f>IF(OR(NOT(G71),(COLUMN()-3)-(B73+5)&lt;0,(B73+5+B74) - (COLUMN()-2) &lt;0),"",G71*(1-B72)/(B74+1)*B71)</f>
        <v/>
      </c>
      <c r="AA79" s="74" t="str">
        <f>IF(OR(NOT(G71),(COLUMN()-3)-(B73+5)&lt;0,(B73+5+B74) - (COLUMN()-2) &lt;0),"",G71*(1-B72)/(B74+1)*B71)</f>
        <v/>
      </c>
      <c r="AB79" s="74" t="str">
        <f>IF(OR(NOT(G71),(COLUMN()-3)-(B73+5)&lt;0,(B73+5+B74) - (COLUMN()-2) &lt;0),"",G71*(1-B72)/(B74+1)*B71)</f>
        <v/>
      </c>
      <c r="AC79" s="74" t="str">
        <f>IF(OR(NOT(G71),(COLUMN()-3)-(B73+5)&lt;0,(B73+5+B74) - (COLUMN()-2) &lt;0),"",G71*(1-B72)/(B74+1)*B71)</f>
        <v/>
      </c>
      <c r="AD79" s="91"/>
      <c r="AE79" s="91"/>
      <c r="AF79" s="91"/>
      <c r="AG79" s="91"/>
      <c r="AH79" s="91"/>
      <c r="AI79" s="91"/>
      <c r="AJ79" s="91"/>
    </row>
    <row r="80" spans="1:38" hidden="1">
      <c r="A80" s="91"/>
      <c r="B80" s="91"/>
      <c r="C80" s="91"/>
      <c r="D80" s="91"/>
      <c r="E80" s="91"/>
      <c r="F80" s="91"/>
      <c r="G80" s="91"/>
      <c r="H80" s="91"/>
      <c r="I80" s="50" t="str">
        <f>IF(OR(NOT(H71),(COLUMN()-3)-(B73+6)&lt;0,(B73+6+B74) - (COLUMN()-2) &lt;0),"",H71*(1-B72)/(B74+1)*B71)</f>
        <v/>
      </c>
      <c r="J80" s="50" t="str">
        <f>IF(OR(NOT(H71),(COLUMN()-3)-(B73+6)&lt;0,(B73+6+B74) - (COLUMN()-2) &lt;0),"",H71*(1-B72)/(B74+1)*B71)</f>
        <v/>
      </c>
      <c r="K80" s="50" t="str">
        <f>IF(OR(NOT(H71),(COLUMN()-3)-(B73+6)&lt;0,(B73+6+B74) - (COLUMN()-2) &lt;0),"",H71*(1-B72)/(B74+1)*B71)</f>
        <v/>
      </c>
      <c r="L80" s="50" t="str">
        <f>IF(OR(NOT(H71),(COLUMN()-3)-(B73+6)&lt;0,(B73+6+B74) - (COLUMN()-2) &lt;0),"",H71*(1-B72)/(B74+1)*B71)</f>
        <v/>
      </c>
      <c r="M80" s="50" t="str">
        <f>IF(OR(NOT(H71),(COLUMN()-3)-(B73+6)&lt;0,(B73+6+B74) - (COLUMN()-2) &lt;0),"",H71*(1-B72)/(B74+1)*B71)</f>
        <v/>
      </c>
      <c r="N80" s="50" t="str">
        <f>IF(OR(NOT(H71),(COLUMN()-3)-(B73+6)&lt;0,(B73+6+B74) - (COLUMN()-2) &lt;0),"",H71*(1-B72)/(B74+1)*B71)</f>
        <v/>
      </c>
      <c r="O80" s="72" t="str">
        <f>IF(OR(NOT(H71),(COLUMN()-3)-(B73+6)&lt;0,(B73+6+B74) - (COLUMN()-2) &lt;0),"",H71*(1-B72)/(B74+1)*B71)</f>
        <v/>
      </c>
      <c r="P80" s="72" t="str">
        <f>IF(OR(NOT(H71),(COLUMN()-3)-(B73+6)&lt;0,(B73+6+B74) - (COLUMN()-2) &lt;0),"",H71*(1-B72)/(B74+1)*B71)</f>
        <v/>
      </c>
      <c r="Q80" s="72" t="str">
        <f>IF(OR(NOT(H71),(COLUMN()-3)-(B73+6)&lt;0,(B73+6+B74) - (COLUMN()-2) &lt;0),"",H71*(1-B72)/(B74+1)*B71)</f>
        <v/>
      </c>
      <c r="R80" s="72" t="str">
        <f>IF(OR(NOT(H71),(COLUMN()-3)-(B73+6)&lt;0,(B73+6+B74) - (COLUMN()-2) &lt;0),"",H71*(1-B72)/(B74+1)*B71)</f>
        <v/>
      </c>
      <c r="S80" s="72" t="str">
        <f>IF(OR(NOT(H71),(COLUMN()-3)-(B73+6)&lt;0,(B73+6+B74) - (COLUMN()-2) &lt;0),"",H71*(1-B72)/(B74+1)*B71)</f>
        <v/>
      </c>
      <c r="T80" s="72" t="str">
        <f>IF(OR(NOT(H71),(COLUMN()-3)-(B73+6)&lt;0,(B73+6+B74) - (COLUMN()-2) &lt;0),"",H71*(1-B72)/(B74+1)*B71)</f>
        <v/>
      </c>
      <c r="U80" s="72" t="str">
        <f>IF(OR(NOT(H71),(COLUMN()-3)-(B73+6)&lt;0,(B73+6+B74) - (COLUMN()-2) &lt;0),"",H71*(1-B72)/(B74+1)*B71)</f>
        <v/>
      </c>
      <c r="V80" s="72" t="str">
        <f>IF(OR(NOT(H71),(COLUMN()-3)-(B73+6)&lt;0,(B73+6+B74) - (COLUMN()-2) &lt;0),"",H71*(1-B72)/(B74+1)*B71)</f>
        <v/>
      </c>
      <c r="W80" s="72" t="str">
        <f>IF(OR(NOT(H71),(COLUMN()-3)-(B73+6)&lt;0,(B73+6+B74) - (COLUMN()-2) &lt;0),"",H71*(1-B72)/(B74+1)*B71)</f>
        <v/>
      </c>
      <c r="X80" s="72" t="str">
        <f>IF(OR(NOT(H71),(COLUMN()-3)-(B73+6)&lt;0,(B73+6+B74) - (COLUMN()-2) &lt;0),"",H71*(1-B72)/(B74+1)*B71)</f>
        <v/>
      </c>
      <c r="Y80" s="72" t="str">
        <f>IF(OR(NOT(H71),(COLUMN()-3)-(B73+6)&lt;0,(B73+6+B74) - (COLUMN()-2) &lt;0),"",H71*(1-B72)/(B74+1)*B71)</f>
        <v/>
      </c>
      <c r="Z80" s="72" t="str">
        <f>IF(OR(NOT(H71),(COLUMN()-3)-(B73+6)&lt;0,(B73+6+B74) - (COLUMN()-2) &lt;0),"",H71*(1-B72)/(B74+1)*B71)</f>
        <v/>
      </c>
      <c r="AA80" s="74" t="str">
        <f>IF(OR(NOT(H71),(COLUMN()-3)-(B73+6)&lt;0,(B73+6+B74) - (COLUMN()-2) &lt;0),"",H71*(1-B72)/(B74+1)*B71)</f>
        <v/>
      </c>
      <c r="AB80" s="74" t="str">
        <f>IF(OR(NOT(H71),(COLUMN()-3)-(B73+6)&lt;0,(B73+6+B74) - (COLUMN()-2) &lt;0),"",H71*(1-B72)/(B74+1)*B71)</f>
        <v/>
      </c>
      <c r="AC80" s="74" t="str">
        <f>IF(OR(NOT(H71),(COLUMN()-3)-(B73+6)&lt;0,(B73+6+B74) - (COLUMN()-2) &lt;0),"",H71*(1-B72)/(B74+1)*B71)</f>
        <v/>
      </c>
      <c r="AD80" s="74" t="str">
        <f>IF(OR(NOT(H71),(COLUMN()-3)-(B73+6)&lt;0,(B73+6+B74) - (COLUMN()-2) &lt;0),"",H71*(1-B72)/(B74+1)*B71)</f>
        <v/>
      </c>
      <c r="AE80" s="91"/>
      <c r="AF80" s="91"/>
      <c r="AG80" s="91"/>
      <c r="AH80" s="91"/>
      <c r="AI80" s="91"/>
      <c r="AJ80" s="91"/>
    </row>
    <row r="81" spans="1:38" hidden="1">
      <c r="A81" s="91"/>
      <c r="B81" s="91"/>
      <c r="C81" s="91"/>
      <c r="D81" s="91"/>
      <c r="E81" s="91"/>
      <c r="F81" s="91"/>
      <c r="G81" s="91"/>
      <c r="H81" s="91"/>
      <c r="I81" s="91"/>
      <c r="J81" s="50" t="str">
        <f>IF(OR(NOT(I71),(COLUMN()-3)-(B73+7)&lt;0,(B73+7+B74) - (COLUMN()-2) &lt;0),"",I71*(1-B72)/(B74+1)*B71)</f>
        <v/>
      </c>
      <c r="K81" s="50" t="str">
        <f>IF(OR(NOT(I71),(COLUMN()-3)-(B73+7)&lt;0,(B73+7+B74) - (COLUMN()-2) &lt;0),"",I71*(1-B72)/(B74+1)*B71)</f>
        <v/>
      </c>
      <c r="L81" s="50" t="str">
        <f>IF(OR(NOT(I71),(COLUMN()-3)-(B73+7)&lt;0,(B73+7+B74) - (COLUMN()-2) &lt;0),"",I71*(1-B72)/(B74+1)*B71)</f>
        <v/>
      </c>
      <c r="M81" s="50" t="str">
        <f>IF(OR(NOT(I71),(COLUMN()-3)-(B73+7)&lt;0,(B73+7+B74) - (COLUMN()-2) &lt;0),"",I71*(1-B72)/(B74+1)*B71)</f>
        <v/>
      </c>
      <c r="N81" s="50" t="str">
        <f>IF(OR(NOT(I71),(COLUMN()-3)-(B73+7)&lt;0,(B73+7+B74) - (COLUMN()-2) &lt;0),"",I71*(1-B72)/(B74+1)*B71)</f>
        <v/>
      </c>
      <c r="O81" s="72" t="str">
        <f>IF(OR(NOT(I71),(COLUMN()-3)-(B73+7)&lt;0,(B73+7+B74) - (COLUMN()-2) &lt;0),"",I71*(1-B72)/(B74+1)*B71)</f>
        <v/>
      </c>
      <c r="P81" s="72" t="str">
        <f>IF(OR(NOT(I71),(COLUMN()-3)-(B73+7)&lt;0,(B73+7+B74) - (COLUMN()-2) &lt;0),"",I71*(1-B72)/(B74+1)*B71)</f>
        <v/>
      </c>
      <c r="Q81" s="72" t="str">
        <f>IF(OR(NOT(I71),(COLUMN()-3)-(B73+7)&lt;0,(B73+7+B74) - (COLUMN()-2) &lt;0),"",I71*(1-B72)/(B74+1)*B71)</f>
        <v/>
      </c>
      <c r="R81" s="72" t="str">
        <f>IF(OR(NOT(I71),(COLUMN()-3)-(B73+7)&lt;0,(B73+7+B74) - (COLUMN()-2) &lt;0),"",I71*(1-B72)/(B74+1)*B71)</f>
        <v/>
      </c>
      <c r="S81" s="72" t="str">
        <f>IF(OR(NOT(I71),(COLUMN()-3)-(B73+7)&lt;0,(B73+7+B74) - (COLUMN()-2) &lt;0),"",I71*(1-B72)/(B74+1)*B71)</f>
        <v/>
      </c>
      <c r="T81" s="72" t="str">
        <f>IF(OR(NOT(I71),(COLUMN()-3)-(B73+7)&lt;0,(B73+7+B74) - (COLUMN()-2) &lt;0),"",I71*(1-B72)/(B74+1)*B71)</f>
        <v/>
      </c>
      <c r="U81" s="72" t="str">
        <f>IF(OR(NOT(I71),(COLUMN()-3)-(B73+7)&lt;0,(B73+7+B74) - (COLUMN()-2) &lt;0),"",I71*(1-B72)/(B74+1)*B71)</f>
        <v/>
      </c>
      <c r="V81" s="72" t="str">
        <f>IF(OR(NOT(I71),(COLUMN()-3)-(B73+7)&lt;0,(B73+7+B74) - (COLUMN()-2) &lt;0),"",I71*(1-B72)/(B74+1)*B71)</f>
        <v/>
      </c>
      <c r="W81" s="72" t="str">
        <f>IF(OR(NOT(I71),(COLUMN()-3)-(B73+7)&lt;0,(B73+7+B74) - (COLUMN()-2) &lt;0),"",I71*(1-B72)/(B74+1)*B71)</f>
        <v/>
      </c>
      <c r="X81" s="72" t="str">
        <f>IF(OR(NOT(I71),(COLUMN()-3)-(B73+7)&lt;0,(B73+7+B74) - (COLUMN()-2) &lt;0),"",I71*(1-B72)/(B74+1)*B71)</f>
        <v/>
      </c>
      <c r="Y81" s="72" t="str">
        <f>IF(OR(NOT(I71),(COLUMN()-3)-(B73+7)&lt;0,(B73+7+B74) - (COLUMN()-2) &lt;0),"",I71*(1-B72)/(B74+1)*B71)</f>
        <v/>
      </c>
      <c r="Z81" s="72" t="str">
        <f>IF(OR(NOT(I71),(COLUMN()-3)-(B73+7)&lt;0,(B73+7+B74) - (COLUMN()-2) &lt;0),"",I71*(1-B72)/(B74+1)*B71)</f>
        <v/>
      </c>
      <c r="AA81" s="74" t="str">
        <f>IF(OR(NOT(I71),(COLUMN()-3)-(B73+7)&lt;0,(B73+7+B74) - (COLUMN()-2) &lt;0),"",I71*(1-B72)/(B74+1)*B71)</f>
        <v/>
      </c>
      <c r="AB81" s="74" t="str">
        <f>IF(OR(NOT(I71),(COLUMN()-3)-(B73+7)&lt;0,(B73+7+B74) - (COLUMN()-2) &lt;0),"",I71*(1-B72)/(B74+1)*B71)</f>
        <v/>
      </c>
      <c r="AC81" s="74" t="str">
        <f>IF(OR(NOT(I71),(COLUMN()-3)-(B73+7)&lt;0,(B73+7+B74) - (COLUMN()-2) &lt;0),"",I71*(1-B72)/(B74+1)*B71)</f>
        <v/>
      </c>
      <c r="AD81" s="74" t="str">
        <f>IF(OR(NOT(I71),(COLUMN()-3)-(B73+7)&lt;0,(B73+7+B74) - (COLUMN()-2) &lt;0),"",I71*(1-B72)/(B74+1)*B71)</f>
        <v/>
      </c>
      <c r="AE81" s="74" t="str">
        <f>IF(OR(NOT(I71),(COLUMN()-3)-(B73+7)&lt;0,(B73+7+B74) - (COLUMN()-2) &lt;0),"",I71*(1-B72)/(B74+1)*B71)</f>
        <v/>
      </c>
      <c r="AF81" s="91"/>
      <c r="AG81" s="91"/>
      <c r="AH81" s="91"/>
      <c r="AI81" s="91"/>
      <c r="AJ81" s="91"/>
    </row>
    <row r="82" spans="1:38" hidden="1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50" t="str">
        <f>IF(OR(NOT(J71),(COLUMN()-3)-(B73+8)&lt;0,(B73+8+B74) - (COLUMN()-2) &lt;0),"",J71*(1-B72)/(B74+1)*B71)</f>
        <v/>
      </c>
      <c r="L82" s="50" t="str">
        <f>IF(OR(NOT(J71),(COLUMN()-3)-(B73+8)&lt;0,(B73+8+B74) - (COLUMN()-2) &lt;0),"",J71*(1-B72)/(B74+1)*B71)</f>
        <v/>
      </c>
      <c r="M82" s="50" t="str">
        <f>IF(OR(NOT(J71),(COLUMN()-3)-(B73+8)&lt;0,(B73+8+B74) - (COLUMN()-2) &lt;0),"",J71*(1-B72)/(B74+1)*B71)</f>
        <v/>
      </c>
      <c r="N82" s="50" t="str">
        <f>IF(OR(NOT(J71),(COLUMN()-3)-(B73+8)&lt;0,(B73+8+B74) - (COLUMN()-2) &lt;0),"",J71*(1-B72)/(B74+1)*B71)</f>
        <v/>
      </c>
      <c r="O82" s="72" t="str">
        <f>IF(OR(NOT(J71),(COLUMN()-3)-(B73+8)&lt;0,(B73+8+B74) - (COLUMN()-2) &lt;0),"",J71*(1-B72)/(B74+1)*B71)</f>
        <v/>
      </c>
      <c r="P82" s="72" t="str">
        <f>IF(OR(NOT(J71),(COLUMN()-3)-(B73+8)&lt;0,(B73+8+B74) - (COLUMN()-2) &lt;0),"",J71*(1-B72)/(B74+1)*B71)</f>
        <v/>
      </c>
      <c r="Q82" s="72" t="str">
        <f>IF(OR(NOT(J71),(COLUMN()-3)-(B73+8)&lt;0,(B73+8+B74) - (COLUMN()-2) &lt;0),"",J71*(1-B72)/(B74+1)*B71)</f>
        <v/>
      </c>
      <c r="R82" s="72" t="str">
        <f>IF(OR(NOT(J71),(COLUMN()-3)-(B73+8)&lt;0,(B73+8+B74) - (COLUMN()-2) &lt;0),"",J71*(1-B72)/(B74+1)*B71)</f>
        <v/>
      </c>
      <c r="S82" s="72" t="str">
        <f>IF(OR(NOT(J71),(COLUMN()-3)-(B73+8)&lt;0,(B73+8+B74) - (COLUMN()-2) &lt;0),"",J71*(1-B72)/(B74+1)*B71)</f>
        <v/>
      </c>
      <c r="T82" s="72" t="str">
        <f>IF(OR(NOT(J71),(COLUMN()-3)-(B73+8)&lt;0,(B73+8+B74) - (COLUMN()-2) &lt;0),"",J71*(1-B72)/(B74+1)*B71)</f>
        <v/>
      </c>
      <c r="U82" s="72" t="str">
        <f>IF(OR(NOT(J71),(COLUMN()-3)-(B73+8)&lt;0,(B73+8+B74) - (COLUMN()-2) &lt;0),"",J71*(1-B72)/(B74+1)*B71)</f>
        <v/>
      </c>
      <c r="V82" s="72" t="str">
        <f>IF(OR(NOT(J71),(COLUMN()-3)-(B73+8)&lt;0,(B73+8+B74) - (COLUMN()-2) &lt;0),"",J71*(1-B72)/(B74+1)*B71)</f>
        <v/>
      </c>
      <c r="W82" s="72" t="str">
        <f>IF(OR(NOT(J71),(COLUMN()-3)-(B73+8)&lt;0,(B73+8+B74) - (COLUMN()-2) &lt;0),"",J71*(1-B72)/(B74+1)*B71)</f>
        <v/>
      </c>
      <c r="X82" s="72" t="str">
        <f>IF(OR(NOT(J71),(COLUMN()-3)-(B73+8)&lt;0,(B73+8+B74) - (COLUMN()-2) &lt;0),"",J71*(1-B72)/(B74+1)*B71)</f>
        <v/>
      </c>
      <c r="Y82" s="72" t="str">
        <f>IF(OR(NOT(J71),(COLUMN()-3)-(B73+8)&lt;0,(B73+8+B74) - (COLUMN()-2) &lt;0),"",J71*(1-B72)/(B74+1)*B71)</f>
        <v/>
      </c>
      <c r="Z82" s="72" t="str">
        <f>IF(OR(NOT(J71),(COLUMN()-3)-(B73+8)&lt;0,(B73+8+B74) - (COLUMN()-2) &lt;0),"",J71*(1-B72)/(B74+1)*B71)</f>
        <v/>
      </c>
      <c r="AA82" s="74" t="str">
        <f>IF(OR(NOT(J71),(COLUMN()-3)-(B73+8)&lt;0,(B73+8+B74) - (COLUMN()-2) &lt;0),"",J71*(1-B72)/(B74+1)*B71)</f>
        <v/>
      </c>
      <c r="AB82" s="74" t="str">
        <f>IF(OR(NOT(J71),(COLUMN()-3)-(B73+8)&lt;0,(B73+8+B74) - (COLUMN()-2) &lt;0),"",J71*(1-B72)/(B74+1)*B71)</f>
        <v/>
      </c>
      <c r="AC82" s="74" t="str">
        <f>IF(OR(NOT(J71),(COLUMN()-3)-(B73+8)&lt;0,(B73+8+B74) - (COLUMN()-2) &lt;0),"",J71*(1-B72)/(B74+1)*B71)</f>
        <v/>
      </c>
      <c r="AD82" s="74" t="str">
        <f>IF(OR(NOT(J71),(COLUMN()-3)-(B73+8)&lt;0,(B73+8+B74) - (COLUMN()-2) &lt;0),"",J71*(1-B72)/(B74+1)*B71)</f>
        <v/>
      </c>
      <c r="AE82" s="74" t="str">
        <f>IF(OR(NOT(J71),(COLUMN()-3)-(B73+8)&lt;0,(B73+8+B74) - (COLUMN()-2) &lt;0),"",J71*(1-B72)/(B74+1)*B71)</f>
        <v/>
      </c>
      <c r="AF82" s="74" t="str">
        <f>IF(OR(NOT(J71),(COLUMN()-3)-(B73+8)&lt;0,(B73+8+B74) - (COLUMN()-2) &lt;0),"",J71*(1-B72)/(B74+1)*B71)</f>
        <v/>
      </c>
      <c r="AG82" s="91"/>
      <c r="AH82" s="91"/>
      <c r="AI82" s="91"/>
      <c r="AJ82" s="91"/>
    </row>
    <row r="83" spans="1:38" hidden="1">
      <c r="A83" s="91"/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50" t="str">
        <f>IF(OR(NOT(K71),(COLUMN()-3)-(B73+9)&lt;0,(B73+9+B74) - (COLUMN()-2) &lt;0),"",K71*(1-B72)/(B74+1)*B71)</f>
        <v/>
      </c>
      <c r="M83" s="50" t="str">
        <f>IF(OR(NOT(K71),(COLUMN()-3)-(B73+9)&lt;0,(B73+9+B74) - (COLUMN()-2) &lt;0),"",K71*(1-B72)/(B74+1)*B71)</f>
        <v/>
      </c>
      <c r="N83" s="50" t="str">
        <f>IF(OR(NOT(K71),(COLUMN()-3)-(B73+9)&lt;0,(B73+9+B74) - (COLUMN()-2) &lt;0),"",K71*(1-B72)/(B74+1)*B71)</f>
        <v/>
      </c>
      <c r="O83" s="72" t="str">
        <f>IF(OR(NOT(K71),(COLUMN()-3)-(B73+9)&lt;0,(B73+9+B74) - (COLUMN()-2) &lt;0),"",K71*(1-B72)/(B74+1)*B71)</f>
        <v/>
      </c>
      <c r="P83" s="72" t="str">
        <f>IF(OR(NOT(K71),(COLUMN()-3)-(B73+9)&lt;0,(B73+9+B74) - (COLUMN()-2) &lt;0),"",K71*(1-B72)/(B74+1)*B71)</f>
        <v/>
      </c>
      <c r="Q83" s="72" t="str">
        <f>IF(OR(NOT(K71),(COLUMN()-3)-(B73+9)&lt;0,(B73+9+B74) - (COLUMN()-2) &lt;0),"",K71*(1-B72)/(B74+1)*B71)</f>
        <v/>
      </c>
      <c r="R83" s="72" t="str">
        <f>IF(OR(NOT(K71),(COLUMN()-3)-(B73+9)&lt;0,(B73+9+B74) - (COLUMN()-2) &lt;0),"",K71*(1-B72)/(B74+1)*B71)</f>
        <v/>
      </c>
      <c r="S83" s="72" t="str">
        <f>IF(OR(NOT(K71),(COLUMN()-3)-(B73+9)&lt;0,(B73+9+B74) - (COLUMN()-2) &lt;0),"",K71*(1-B72)/(B74+1)*B71)</f>
        <v/>
      </c>
      <c r="T83" s="72" t="str">
        <f>IF(OR(NOT(K71),(COLUMN()-3)-(B73+9)&lt;0,(B73+9+B74) - (COLUMN()-2) &lt;0),"",K71*(1-B72)/(B74+1)*B71)</f>
        <v/>
      </c>
      <c r="U83" s="72" t="str">
        <f>IF(OR(NOT(K71),(COLUMN()-3)-(B73+9)&lt;0,(B73+9+B74) - (COLUMN()-2) &lt;0),"",K71*(1-B72)/(B74+1)*B71)</f>
        <v/>
      </c>
      <c r="V83" s="72" t="str">
        <f>IF(OR(NOT(K71),(COLUMN()-3)-(B73+9)&lt;0,(B73+9+B74) - (COLUMN()-2) &lt;0),"",K71*(1-B72)/(B74+1)*B71)</f>
        <v/>
      </c>
      <c r="W83" s="72" t="str">
        <f>IF(OR(NOT(K71),(COLUMN()-3)-(B73+9)&lt;0,(B73+9+B74) - (COLUMN()-2) &lt;0),"",K71*(1-B72)/(B74+1)*B71)</f>
        <v/>
      </c>
      <c r="X83" s="72" t="str">
        <f>IF(OR(NOT(K71),(COLUMN()-3)-(B73+9)&lt;0,(B73+9+B74) - (COLUMN()-2) &lt;0),"",K71*(1-B72)/(B74+1)*B71)</f>
        <v/>
      </c>
      <c r="Y83" s="72" t="str">
        <f>IF(OR(NOT(K71),(COLUMN()-3)-(B73+9)&lt;0,(B73+9+B74) - (COLUMN()-2) &lt;0),"",K71*(1-B72)/(B74+1)*B71)</f>
        <v/>
      </c>
      <c r="Z83" s="72" t="str">
        <f>IF(OR(NOT(K71),(COLUMN()-3)-(B73+9)&lt;0,(B73+9+B74) - (COLUMN()-2) &lt;0),"",K71*(1-B72)/(B74+1)*B71)</f>
        <v/>
      </c>
      <c r="AA83" s="74" t="str">
        <f>IF(OR(NOT(K71),(COLUMN()-3)-(B73+9)&lt;0,(B73+9+B74) - (COLUMN()-2) &lt;0),"",K71*(1-B72)/(B74+1)*B71)</f>
        <v/>
      </c>
      <c r="AB83" s="74" t="str">
        <f>IF(OR(NOT(K71),(COLUMN()-3)-(B73+9)&lt;0,(B73+9+B74) - (COLUMN()-2) &lt;0),"",K71*(1-B72)/(B74+1)*B71)</f>
        <v/>
      </c>
      <c r="AC83" s="74" t="str">
        <f>IF(OR(NOT(K71),(COLUMN()-3)-(B73+9)&lt;0,(B73+9+B74) - (COLUMN()-2) &lt;0),"",K71*(1-B72)/(B74+1)*B71)</f>
        <v/>
      </c>
      <c r="AD83" s="74" t="str">
        <f>IF(OR(NOT(K71),(COLUMN()-3)-(B73+9)&lt;0,(B73+9+B74) - (COLUMN()-2) &lt;0),"",K71*(1-B72)/(B74+1)*B71)</f>
        <v/>
      </c>
      <c r="AE83" s="74" t="str">
        <f>IF(OR(NOT(K71),(COLUMN()-3)-(B73+9)&lt;0,(B73+9+B74) - (COLUMN()-2) &lt;0),"",K71*(1-B72)/(B74+1)*B71)</f>
        <v/>
      </c>
      <c r="AF83" s="74" t="str">
        <f>IF(OR(NOT(K71),(COLUMN()-3)-(B73+9)&lt;0,(B73+9+B74) - (COLUMN()-2) &lt;0),"",K71*(1-B72)/(B74+1)*B71)</f>
        <v/>
      </c>
      <c r="AG83" s="74" t="str">
        <f>IF(OR(NOT(K71),(COLUMN()-3)-(B73+9)&lt;0,(B73+9+B74) - (COLUMN()-2) &lt;0),"",K71*(1-B72)/(B74+1)*B71)</f>
        <v/>
      </c>
      <c r="AH83" s="91"/>
      <c r="AI83" s="91"/>
      <c r="AJ83" s="91"/>
    </row>
    <row r="84" spans="1:38" hidden="1">
      <c r="A84" s="91"/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50" t="str">
        <f>IF(OR(NOT(L71),(COLUMN()-3)-(B73+10)&lt;0,(B73+10+B74) - (COLUMN()-2) &lt;0),"",L71*(1-B72)/(B74+1)*B71)</f>
        <v/>
      </c>
      <c r="N84" s="50" t="str">
        <f>IF(OR(NOT(L71),(COLUMN()-3)-(B73+10)&lt;0,(B73+10+B74) - (COLUMN()-2) &lt;0),"",L71*(1-B72)/(B74+1)*B71)</f>
        <v/>
      </c>
      <c r="O84" s="72" t="str">
        <f>IF(OR(NOT(L71),(COLUMN()-3)-(B73+10)&lt;0,(B73+10+B74) - (COLUMN()-2) &lt;0),"",L71*(1-B72)/(B74+1)*B71)</f>
        <v/>
      </c>
      <c r="P84" s="72" t="str">
        <f>IF(OR(NOT(L71),(COLUMN()-3)-(B73+10)&lt;0,(B73+10+B74) - (COLUMN()-2) &lt;0),"",L71*(1-B72)/(B74+1)*B71)</f>
        <v/>
      </c>
      <c r="Q84" s="72" t="str">
        <f>IF(OR(NOT(L71),(COLUMN()-3)-(B73+10)&lt;0,(B73+10+B74) - (COLUMN()-2) &lt;0),"",L71*(1-B72)/(B74+1)*B71)</f>
        <v/>
      </c>
      <c r="R84" s="72" t="str">
        <f>IF(OR(NOT(L71),(COLUMN()-3)-(B73+10)&lt;0,(B73+10+B74) - (COLUMN()-2) &lt;0),"",L71*(1-B72)/(B74+1)*B71)</f>
        <v/>
      </c>
      <c r="S84" s="72" t="str">
        <f>IF(OR(NOT(L71),(COLUMN()-3)-(B73+10)&lt;0,(B73+10+B74) - (COLUMN()-2) &lt;0),"",L71*(1-B72)/(B74+1)*B71)</f>
        <v/>
      </c>
      <c r="T84" s="72" t="str">
        <f>IF(OR(NOT(L71),(COLUMN()-3)-(B73+10)&lt;0,(B73+10+B74) - (COLUMN()-2) &lt;0),"",L71*(1-B72)/(B74+1)*B71)</f>
        <v/>
      </c>
      <c r="U84" s="72" t="str">
        <f>IF(OR(NOT(L71),(COLUMN()-3)-(B73+10)&lt;0,(B73+10+B74) - (COLUMN()-2) &lt;0),"",L71*(1-B72)/(B74+1)*B71)</f>
        <v/>
      </c>
      <c r="V84" s="72" t="str">
        <f>IF(OR(NOT(L71),(COLUMN()-3)-(B73+10)&lt;0,(B73+10+B74) - (COLUMN()-2) &lt;0),"",L71*(1-B72)/(B74+1)*B71)</f>
        <v/>
      </c>
      <c r="W84" s="72" t="str">
        <f>IF(OR(NOT(L71),(COLUMN()-3)-(B73+10)&lt;0,(B73+10+B74) - (COLUMN()-2) &lt;0),"",L71*(1-B72)/(B74+1)*B71)</f>
        <v/>
      </c>
      <c r="X84" s="72" t="str">
        <f>IF(OR(NOT(L71),(COLUMN()-3)-(B73+10)&lt;0,(B73+10+B74) - (COLUMN()-2) &lt;0),"",L71*(1-B72)/(B74+1)*B71)</f>
        <v/>
      </c>
      <c r="Y84" s="72" t="str">
        <f>IF(OR(NOT(L71),(COLUMN()-3)-(B73+10)&lt;0,(B73+10+B74) - (COLUMN()-2) &lt;0),"",L71*(1-B72)/(B74+1)*B71)</f>
        <v/>
      </c>
      <c r="Z84" s="72" t="str">
        <f>IF(OR(NOT(L71),(COLUMN()-3)-(B73+10)&lt;0,(B73+10+B74) - (COLUMN()-2) &lt;0),"",L71*(1-B72)/(B74+1)*B71)</f>
        <v/>
      </c>
      <c r="AA84" s="74" t="str">
        <f>IF(OR(NOT(L71),(COLUMN()-3)-(B73+10)&lt;0,(B73+10+B74) - (COLUMN()-2) &lt;0),"",L71*(1-B72)/(B74+1)*B71)</f>
        <v/>
      </c>
      <c r="AB84" s="74" t="str">
        <f>IF(OR(NOT(L71),(COLUMN()-3)-(B73+10)&lt;0,(B73+10+B74) - (COLUMN()-2) &lt;0),"",L71*(1-B72)/(B74+1)*B71)</f>
        <v/>
      </c>
      <c r="AC84" s="74" t="str">
        <f>IF(OR(NOT(L71),(COLUMN()-3)-(B73+10)&lt;0,(B73+10+B74) - (COLUMN()-2) &lt;0),"",L71*(1-B72)/(B74+1)*B71)</f>
        <v/>
      </c>
      <c r="AD84" s="74" t="str">
        <f>IF(OR(NOT(L71),(COLUMN()-3)-(B73+10)&lt;0,(B73+10+B74) - (COLUMN()-2) &lt;0),"",L71*(1-B72)/(B74+1)*B71)</f>
        <v/>
      </c>
      <c r="AE84" s="74" t="str">
        <f>IF(OR(NOT(L71),(COLUMN()-3)-(B73+10)&lt;0,(B73+10+B74) - (COLUMN()-2) &lt;0),"",L71*(1-B72)/(B74+1)*B71)</f>
        <v/>
      </c>
      <c r="AF84" s="74" t="str">
        <f>IF(OR(NOT(L71),(COLUMN()-3)-(B73+10)&lt;0,(B73+10+B74) - (COLUMN()-2) &lt;0),"",L71*(1-B72)/(B74+1)*B71)</f>
        <v/>
      </c>
      <c r="AG84" s="74" t="str">
        <f>IF(OR(NOT(L71),(COLUMN()-3)-(B73+10)&lt;0,(B73+10+B74) - (COLUMN()-2) &lt;0),"",L71*(1-B72)/(B74+1)*B71)</f>
        <v/>
      </c>
      <c r="AH84" s="74" t="str">
        <f>IF(OR(NOT(L71),(COLUMN()-3)-(B73+10)&lt;0,(B73+10+B74) - (COLUMN()-2) &lt;0),"",L71*(1-B72)/(B74+1)*B71)</f>
        <v/>
      </c>
      <c r="AI84" s="91"/>
      <c r="AJ84" s="91"/>
    </row>
    <row r="85" spans="1:38" hidden="1">
      <c r="A85" s="91"/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50" t="str">
        <f>IF(OR(NOT(M71),(COLUMN()-3)-(B73+11)&lt;0,(B73+11+B74) - (COLUMN()-2) &lt;0),"",M71*(1-B72)/(B74+1)*B71)</f>
        <v/>
      </c>
      <c r="O85" s="72" t="str">
        <f>IF(OR(NOT(M71),(COLUMN()-3)-(B73+11)&lt;0,(B73+11+B74) - (COLUMN()-2) &lt;0),"",M71*(1-B72)/(B74+1)*B71)</f>
        <v/>
      </c>
      <c r="P85" s="72" t="str">
        <f>IF(OR(NOT(M71),(COLUMN()-3)-(B73+11)&lt;0,(B73+11+B74) - (COLUMN()-2) &lt;0),"",M71*(1-B72)/(B74+1)*B71)</f>
        <v/>
      </c>
      <c r="Q85" s="72" t="str">
        <f>IF(OR(NOT(M71),(COLUMN()-3)-(B73+11)&lt;0,(B73+11+B74) - (COLUMN()-2) &lt;0),"",M71*(1-B72)/(B74+1)*B71)</f>
        <v/>
      </c>
      <c r="R85" s="72" t="str">
        <f>IF(OR(NOT(M71),(COLUMN()-3)-(B73+11)&lt;0,(B73+11+B74) - (COLUMN()-2) &lt;0),"",M71*(1-B72)/(B74+1)*B71)</f>
        <v/>
      </c>
      <c r="S85" s="72" t="str">
        <f>IF(OR(NOT(M71),(COLUMN()-3)-(B73+11)&lt;0,(B73+11+B74) - (COLUMN()-2) &lt;0),"",M71*(1-B72)/(B74+1)*B71)</f>
        <v/>
      </c>
      <c r="T85" s="72" t="str">
        <f>IF(OR(NOT(M71),(COLUMN()-3)-(B73+11)&lt;0,(B73+11+B74) - (COLUMN()-2) &lt;0),"",M71*(1-B72)/(B74+1)*B71)</f>
        <v/>
      </c>
      <c r="U85" s="72" t="str">
        <f>IF(OR(NOT(M71),(COLUMN()-3)-(B73+11)&lt;0,(B73+11+B74) - (COLUMN()-2) &lt;0),"",M71*(1-B72)/(B74+1)*B71)</f>
        <v/>
      </c>
      <c r="V85" s="72" t="str">
        <f>IF(OR(NOT(M71),(COLUMN()-3)-(B73+11)&lt;0,(B73+11+B74) - (COLUMN()-2) &lt;0),"",M71*(1-B72)/(B74+1)*B71)</f>
        <v/>
      </c>
      <c r="W85" s="72" t="str">
        <f>IF(OR(NOT(M71),(COLUMN()-3)-(B73+11)&lt;0,(B73+11+B74) - (COLUMN()-2) &lt;0),"",M71*(1-B72)/(B74+1)*B71)</f>
        <v/>
      </c>
      <c r="X85" s="72" t="str">
        <f>IF(OR(NOT(M71),(COLUMN()-3)-(B73+11)&lt;0,(B73+11+B74) - (COLUMN()-2) &lt;0),"",M71*(1-B72)/(B74+1)*B71)</f>
        <v/>
      </c>
      <c r="Y85" s="72" t="str">
        <f>IF(OR(NOT(M71),(COLUMN()-3)-(B73+11)&lt;0,(B73+11+B74) - (COLUMN()-2) &lt;0),"",M71*(1-B72)/(B74+1)*B71)</f>
        <v/>
      </c>
      <c r="Z85" s="72" t="str">
        <f>IF(OR(NOT(M71),(COLUMN()-3)-(B73+11)&lt;0,(B73+11+B74) - (COLUMN()-2) &lt;0),"",M71*(1-B72)/(B74+1)*B71)</f>
        <v/>
      </c>
      <c r="AA85" s="74" t="str">
        <f>IF(OR(NOT(M71),(COLUMN()-3)-(B73+11)&lt;0,(B73+11+B74) - (COLUMN()-2) &lt;0),"",M71*(1-B72)/(B74+1)*B71)</f>
        <v/>
      </c>
      <c r="AB85" s="74" t="str">
        <f>IF(OR(NOT(M71),(COLUMN()-3)-(B73+11)&lt;0,(B73+11+B74) - (COLUMN()-2) &lt;0),"",M71*(1-B72)/(B74+1)*B71)</f>
        <v/>
      </c>
      <c r="AC85" s="74" t="str">
        <f>IF(OR(NOT(M71),(COLUMN()-3)-(B73+11)&lt;0,(B73+11+B74) - (COLUMN()-2) &lt;0),"",M71*(1-B72)/(B74+1)*B71)</f>
        <v/>
      </c>
      <c r="AD85" s="74" t="str">
        <f>IF(OR(NOT(M71),(COLUMN()-3)-(B73+11)&lt;0,(B73+11+B74) - (COLUMN()-2) &lt;0),"",M71*(1-B72)/(B74+1)*B71)</f>
        <v/>
      </c>
      <c r="AE85" s="74" t="str">
        <f>IF(OR(NOT(M71),(COLUMN()-3)-(B73+11)&lt;0,(B73+11+B74) - (COLUMN()-2) &lt;0),"",M71*(1-B72)/(B74+1)*B71)</f>
        <v/>
      </c>
      <c r="AF85" s="74" t="str">
        <f>IF(OR(NOT(M71),(COLUMN()-3)-(B73+11)&lt;0,(B73+11+B74) - (COLUMN()-2) &lt;0),"",M71*(1-B72)/(B74+1)*B71)</f>
        <v/>
      </c>
      <c r="AG85" s="74" t="str">
        <f>IF(OR(NOT(M71),(COLUMN()-3)-(B73+11)&lt;0,(B73+11+B74) - (COLUMN()-2) &lt;0),"",M71*(1-B72)/(B74+1)*B71)</f>
        <v/>
      </c>
      <c r="AH85" s="74" t="str">
        <f>IF(OR(NOT(M71),(COLUMN()-3)-(B73+11)&lt;0,(B73+11+B74) - (COLUMN()-2) &lt;0),"",M71*(1-B72)/(B74+1)*B71)</f>
        <v/>
      </c>
      <c r="AI85" s="74" t="str">
        <f>IF(OR(NOT(M71),(COLUMN()-3)-(B73+11)&lt;0,(B73+11+B74) - (COLUMN()-2) &lt;0),"",M71*(1-B72)/(B74+1)*B71)</f>
        <v/>
      </c>
      <c r="AJ85" s="91"/>
    </row>
    <row r="86" spans="1:38" hidden="1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72" t="str">
        <f>IF(OR(NOT(N71),(COLUMN()-3)-(B73+12)&lt;0,(B73+12+B74) - (COLUMN()-2) &lt;0),"",N71*(1-B72)/(B74+1)*B71)</f>
        <v/>
      </c>
      <c r="P86" s="72" t="str">
        <f>IF(OR(NOT(N71),(COLUMN()-3)-(B73+12)&lt;0,(B73+12+B74) - (COLUMN()-2) &lt;0),"",N71*(1-B72)/(B74+1)*B71)</f>
        <v/>
      </c>
      <c r="Q86" s="72" t="str">
        <f>IF(OR(NOT(N71),(COLUMN()-3)-(B73+12)&lt;0,(B73+12+B74) - (COLUMN()-2) &lt;0),"",N71*(1-B72)/(B74+1)*B71)</f>
        <v/>
      </c>
      <c r="R86" s="72" t="str">
        <f>IF(OR(NOT(N71),(COLUMN()-3)-(B73+12)&lt;0,(B73+12+B74) - (COLUMN()-2) &lt;0),"",N71*(1-B72)/(B74+1)*B71)</f>
        <v/>
      </c>
      <c r="S86" s="72" t="str">
        <f>IF(OR(NOT(N71),(COLUMN()-3)-(B73+12)&lt;0,(B73+12+B74) - (COLUMN()-2) &lt;0),"",N71*(1-B72)/(B74+1)*B71)</f>
        <v/>
      </c>
      <c r="T86" s="72" t="str">
        <f>IF(OR(NOT(N71),(COLUMN()-3)-(B73+12)&lt;0,(B73+12+B74) - (COLUMN()-2) &lt;0),"",N71*(1-B72)/(B74+1)*B71)</f>
        <v/>
      </c>
      <c r="U86" s="72" t="str">
        <f>IF(OR(NOT(N71),(COLUMN()-3)-(B73+12)&lt;0,(B73+12+B74) - (COLUMN()-2) &lt;0),"",N71*(1-B72)/(B74+1)*B71)</f>
        <v/>
      </c>
      <c r="V86" s="72" t="str">
        <f>IF(OR(NOT(N71),(COLUMN()-3)-(B73+12)&lt;0,(B73+12+B74) - (COLUMN()-2) &lt;0),"",N71*(1-B72)/(B74+1)*B71)</f>
        <v/>
      </c>
      <c r="W86" s="72" t="str">
        <f>IF(OR(NOT(N71),(COLUMN()-3)-(B73+12)&lt;0,(B73+12+B74) - (COLUMN()-2) &lt;0),"",N71*(1-B72)/(B74+1)*B71)</f>
        <v/>
      </c>
      <c r="X86" s="72" t="str">
        <f>IF(OR(NOT(N71),(COLUMN()-3)-(B73+12)&lt;0,(B73+12+B74) - (COLUMN()-2) &lt;0),"",N71*(1-B72)/(B74+1)*B71)</f>
        <v/>
      </c>
      <c r="Y86" s="72" t="str">
        <f>IF(OR(NOT(N71),(COLUMN()-3)-(B73+12)&lt;0,(B73+12+B74) - (COLUMN()-2) &lt;0),"",N71*(1-B72)/(B74+1)*B71)</f>
        <v/>
      </c>
      <c r="Z86" s="72" t="str">
        <f>IF(OR(NOT(N71),(COLUMN()-3)-(B73+12)&lt;0,(B73+12+B74) - (COLUMN()-2) &lt;0),"",N71*(1-B72)/(B74+1)*B71)</f>
        <v/>
      </c>
      <c r="AA86" s="74" t="str">
        <f>IF(OR(NOT(N71),(COLUMN()-3)-(B73+12)&lt;0,(B73+12+B74) - (COLUMN()-2) &lt;0),"",N71*(1-B72)/(B74+1)*B71)</f>
        <v/>
      </c>
      <c r="AB86" s="74" t="str">
        <f>IF(OR(NOT(N71),(COLUMN()-3)-(B73+12)&lt;0,(B73+12+B74) - (COLUMN()-2) &lt;0),"",N71*(1-B72)/(B74+1)*B71)</f>
        <v/>
      </c>
      <c r="AC86" s="74" t="str">
        <f>IF(OR(NOT(N71),(COLUMN()-3)-(B73+12)&lt;0,(B73+12+B74) - (COLUMN()-2) &lt;0),"",N71*(1-B72)/(B74+1)*B71)</f>
        <v/>
      </c>
      <c r="AD86" s="74" t="str">
        <f>IF(OR(NOT(N71),(COLUMN()-3)-(B73+12)&lt;0,(B73+12+B74) - (COLUMN()-2) &lt;0),"",N71*(1-B72)/(B74+1)*B71)</f>
        <v/>
      </c>
      <c r="AE86" s="74" t="str">
        <f>IF(OR(NOT(N71),(COLUMN()-3)-(B73+12)&lt;0,(B73+12+B74) - (COLUMN()-2) &lt;0),"",N71*(1-B72)/(B74+1)*B71)</f>
        <v/>
      </c>
      <c r="AF86" s="74" t="str">
        <f>IF(OR(NOT(N71),(COLUMN()-3)-(B73+12)&lt;0,(B73+12+B74) - (COLUMN()-2) &lt;0),"",N71*(1-B72)/(B74+1)*B71)</f>
        <v/>
      </c>
      <c r="AG86" s="74" t="str">
        <f>IF(OR(NOT(N71),(COLUMN()-3)-(B73+12)&lt;0,(B73+12+B74) - (COLUMN()-2) &lt;0),"",N71*(1-B72)/(B74+1)*B71)</f>
        <v/>
      </c>
      <c r="AH86" s="74" t="str">
        <f>IF(OR(NOT(N71),(COLUMN()-3)-(B73+12)&lt;0,(B73+12+B74) - (COLUMN()-2) &lt;0),"",N71*(1-B72)/(B74+1)*B71)</f>
        <v/>
      </c>
      <c r="AI86" s="74" t="str">
        <f>IF(OR(NOT(N71),(COLUMN()-3)-(B73+12)&lt;0,(B73+12+B74) - (COLUMN()-2) &lt;0),"",N71*(1-B72)/(B74+1)*B71)</f>
        <v/>
      </c>
      <c r="AJ86" s="74" t="str">
        <f>IF(OR(NOT(N71),(COLUMN()-3)-(B73+12)&lt;0,(B73+12+B74) - (COLUMN()-2) &lt;0),"",N71*(1-B72)/(B74+1)*B71)</f>
        <v/>
      </c>
    </row>
    <row r="87" spans="1:38">
      <c r="A87" s="90" t="s">
        <v>85</v>
      </c>
      <c r="B87" s="97"/>
      <c r="C87" s="92" t="str">
        <f>IF(-SUM(C72:C73)*B87,-SUM(C72:C73)*B87,"")</f>
        <v/>
      </c>
      <c r="D87" s="92" t="str">
        <f>IF(-SUM(D72:D74)*B87,-SUM(D72:D74)*B87,"")</f>
        <v/>
      </c>
      <c r="E87" s="92" t="str">
        <f>IF(-SUM(E72:E74)*B87,-SUM(E72:E74)*B87,"")</f>
        <v/>
      </c>
      <c r="F87" s="92" t="str">
        <f>IF(-SUM(F72:F74)*B87,-SUM(F72:F74)*B87,"")</f>
        <v/>
      </c>
      <c r="G87" s="92" t="str">
        <f>IF(-SUM(G72:G74)*B87,-SUM(G72:G74)*B87,"")</f>
        <v/>
      </c>
      <c r="H87" s="92" t="str">
        <f>IF(-SUM(H72:H74)*B87,-SUM(H72:H74)*B87,"")</f>
        <v/>
      </c>
      <c r="I87" s="92" t="str">
        <f>IF(-SUM(I72:I74)*B87,-SUM(I72:I74)*B87,"")</f>
        <v/>
      </c>
      <c r="J87" s="92" t="str">
        <f>IF(-SUM(J72:J74)*B87,-SUM(J72:J74)*B87,"")</f>
        <v/>
      </c>
      <c r="K87" s="92" t="str">
        <f>IF(-SUM(K72:K74)*B87,-SUM(K72:K74)*B87,"")</f>
        <v/>
      </c>
      <c r="L87" s="92" t="str">
        <f>IF(-SUM(L72:L74)*B87,-SUM(L72:L74)*B87,"")</f>
        <v/>
      </c>
      <c r="M87" s="92" t="str">
        <f>IF(-SUM(M72:M74)*B87,-SUM(M72:M74)*B87,"")</f>
        <v/>
      </c>
      <c r="N87" s="92" t="str">
        <f>IF(-SUM(N72:N74)*B87,-SUM(N72:N74)*B87,"")</f>
        <v/>
      </c>
      <c r="O87" s="92" t="str">
        <f>IF(-SUM(O73:O74)*B87,-SUM(O73:O74)*B87,"")</f>
        <v/>
      </c>
      <c r="P87" s="92" t="str">
        <f>IF(-SUM(P73:P74)*B87,-SUM(P73:P74)*B87,"")</f>
        <v/>
      </c>
      <c r="Q87" s="92" t="str">
        <f>IF(-SUM(Q73:Q74)*B87,-SUM(Q73:Q74)*B87,"")</f>
        <v/>
      </c>
      <c r="R87" s="92" t="str">
        <f>IF(-SUM(R73:R74)*B87,-SUM(R73:R74)*B87,"")</f>
        <v/>
      </c>
      <c r="S87" s="92" t="str">
        <f>IF(-SUM(S73:S74)*B87,-SUM(S73:S74)*B87,"")</f>
        <v/>
      </c>
      <c r="T87" s="92" t="str">
        <f>IF(-SUM(T73:T74)*B87,-SUM(T73:T74)*B87,"")</f>
        <v/>
      </c>
      <c r="U87" s="92" t="str">
        <f>IF(-SUM(U73:U74)*B87,-SUM(U73:U74)*B87,"")</f>
        <v/>
      </c>
      <c r="V87" s="92" t="str">
        <f>IF(-SUM(V73:V74)*B87,-SUM(V73:V74)*B87,"")</f>
        <v/>
      </c>
      <c r="W87" s="92" t="str">
        <f>IF(-SUM(W73:W74)*B87,-SUM(W73:W74)*B87,"")</f>
        <v/>
      </c>
      <c r="X87" s="92" t="str">
        <f>IF(-SUM(X73:X74)*B87,-SUM(X73:X74)*B87,"")</f>
        <v/>
      </c>
      <c r="Y87" s="92" t="str">
        <f>IF(-SUM(Y73:Y74)*B87,-SUM(Y73:Y74)*B87,"")</f>
        <v/>
      </c>
      <c r="Z87" s="92" t="str">
        <f>IF(-SUM(Z74)*B87,-Z74*B87,"")</f>
        <v/>
      </c>
      <c r="AA87" s="92" t="str">
        <f>IF(-SUM(AA74),-AA74*B87,"")</f>
        <v/>
      </c>
      <c r="AB87" s="92" t="str">
        <f>IF(-SUM(AB74)*B87,-AB74*B87,"")</f>
        <v/>
      </c>
      <c r="AC87" s="92" t="str">
        <f>IF(-SUM(AC74)*B87,-AC74*B87,"")</f>
        <v/>
      </c>
      <c r="AD87" s="92" t="str">
        <f>IF(-SUM(AD74)*B87,-AD74*B87,"")</f>
        <v/>
      </c>
      <c r="AE87" s="92" t="str">
        <f>IF(-SUM(AE74)*B87,-AE74*B87,"")</f>
        <v/>
      </c>
      <c r="AF87" s="92" t="str">
        <f>IF(-SUM(AF74)*B87,-AF74*B87,"")</f>
        <v/>
      </c>
      <c r="AG87" s="92" t="str">
        <f>IF(-SUM(AG74)*B87,-AG74*B87,"")</f>
        <v/>
      </c>
      <c r="AH87" s="92" t="str">
        <f>IF(-SUM(AH74)*B87,-AH74*B87,"")</f>
        <v/>
      </c>
      <c r="AI87" s="92" t="str">
        <f>IF(-SUM(AI74)*B87,-AI74*B87,"")</f>
        <v/>
      </c>
      <c r="AJ87" s="92" t="str">
        <f>IF(-SUM(AJ74)*B87,-AJ74*B87,"")</f>
        <v/>
      </c>
    </row>
    <row r="88" spans="1:38" ht="15" thickBot="1">
      <c r="A88" s="90" t="s">
        <v>86</v>
      </c>
      <c r="B88" s="60"/>
      <c r="C88" s="92" t="str">
        <f>IF(-B88*C71,-B88*C71,"")</f>
        <v/>
      </c>
      <c r="D88" s="92" t="str">
        <f>IF(-B88*D71,-B88*D71,"")</f>
        <v/>
      </c>
      <c r="E88" s="92" t="str">
        <f>IF(-B88*E71,-B88*E71,"")</f>
        <v/>
      </c>
      <c r="F88" s="92" t="str">
        <f>IF(-B88*F71,-B88*F71,"")</f>
        <v/>
      </c>
      <c r="G88" s="92" t="str">
        <f>IF(-B88*G71,-B88*G71,"")</f>
        <v/>
      </c>
      <c r="H88" s="92" t="str">
        <f>IF(-B88*H71,-B88*H71,"")</f>
        <v/>
      </c>
      <c r="I88" s="92" t="str">
        <f>IF(-B88*I71,-B88*I71,"")</f>
        <v/>
      </c>
      <c r="J88" s="92" t="str">
        <f>IF(-B88*J71,-B88*J71,"")</f>
        <v/>
      </c>
      <c r="K88" s="92" t="str">
        <f>IF(-B88*K71,-B88*K71,"")</f>
        <v/>
      </c>
      <c r="L88" s="92" t="str">
        <f>IF(-B88*L71,-B88*L71,"")</f>
        <v/>
      </c>
      <c r="M88" s="92" t="str">
        <f>IF(-B88*M71,-B88*M71,"")</f>
        <v/>
      </c>
      <c r="N88" s="92" t="str">
        <f>IF(-B88*N71,-B88*N71,"")</f>
        <v/>
      </c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</row>
    <row r="89" spans="1:38" ht="18.600000000000001" thickBot="1">
      <c r="B89" s="78" t="s">
        <v>87</v>
      </c>
      <c r="C89" s="93">
        <f>SUM(C72:C73)+SUM(C87:C88)</f>
        <v>0</v>
      </c>
      <c r="D89" s="93">
        <f>SUM(D72:D74)+SUM(D87:D88)</f>
        <v>0</v>
      </c>
      <c r="E89" s="93">
        <f t="shared" ref="E89" si="23">SUM(E72:E74)+SUM(E87:E88)</f>
        <v>0</v>
      </c>
      <c r="F89" s="93">
        <f t="shared" ref="F89" si="24">SUM(F72:F74)+SUM(F87:F88)</f>
        <v>0</v>
      </c>
      <c r="G89" s="93">
        <f t="shared" ref="G89:N89" si="25">SUM(G72:G74)+SUM(G87:G88)</f>
        <v>0</v>
      </c>
      <c r="H89" s="93">
        <f t="shared" si="25"/>
        <v>0</v>
      </c>
      <c r="I89" s="93">
        <f t="shared" si="25"/>
        <v>0</v>
      </c>
      <c r="J89" s="93">
        <f t="shared" si="25"/>
        <v>0</v>
      </c>
      <c r="K89" s="93">
        <f t="shared" si="25"/>
        <v>0</v>
      </c>
      <c r="L89" s="93">
        <f t="shared" si="25"/>
        <v>0</v>
      </c>
      <c r="M89" s="93">
        <f t="shared" si="25"/>
        <v>0</v>
      </c>
      <c r="N89" s="93">
        <f t="shared" si="25"/>
        <v>0</v>
      </c>
      <c r="O89" s="94">
        <f>SUM(O73:O74)+SUM(O87)</f>
        <v>0</v>
      </c>
      <c r="P89" s="94">
        <f t="shared" ref="P89:Y89" si="26">SUM(P73:P74)+SUM(P87)</f>
        <v>0</v>
      </c>
      <c r="Q89" s="94">
        <f t="shared" si="26"/>
        <v>0</v>
      </c>
      <c r="R89" s="94">
        <f t="shared" si="26"/>
        <v>0</v>
      </c>
      <c r="S89" s="94">
        <f t="shared" si="26"/>
        <v>0</v>
      </c>
      <c r="T89" s="94">
        <f t="shared" si="26"/>
        <v>0</v>
      </c>
      <c r="U89" s="94">
        <f t="shared" si="26"/>
        <v>0</v>
      </c>
      <c r="V89" s="94">
        <f t="shared" si="26"/>
        <v>0</v>
      </c>
      <c r="W89" s="94">
        <f t="shared" si="26"/>
        <v>0</v>
      </c>
      <c r="X89" s="94">
        <f t="shared" si="26"/>
        <v>0</v>
      </c>
      <c r="Y89" s="94">
        <f t="shared" si="26"/>
        <v>0</v>
      </c>
      <c r="Z89" s="94">
        <f>SUM(Z74)+SUM(Z87)</f>
        <v>0</v>
      </c>
      <c r="AA89" s="95">
        <f t="shared" ref="AA89:AJ89" si="27">SUM(AA74)+SUM(AA87)</f>
        <v>0</v>
      </c>
      <c r="AB89" s="95">
        <f t="shared" si="27"/>
        <v>0</v>
      </c>
      <c r="AC89" s="95">
        <f t="shared" si="27"/>
        <v>0</v>
      </c>
      <c r="AD89" s="95">
        <f t="shared" si="27"/>
        <v>0</v>
      </c>
      <c r="AE89" s="95">
        <f t="shared" si="27"/>
        <v>0</v>
      </c>
      <c r="AF89" s="95">
        <f t="shared" si="27"/>
        <v>0</v>
      </c>
      <c r="AG89" s="95">
        <f t="shared" si="27"/>
        <v>0</v>
      </c>
      <c r="AH89" s="95">
        <f t="shared" si="27"/>
        <v>0</v>
      </c>
      <c r="AI89" s="95">
        <f t="shared" si="27"/>
        <v>0</v>
      </c>
      <c r="AJ89" s="95">
        <f t="shared" si="27"/>
        <v>0</v>
      </c>
    </row>
    <row r="91" spans="1:38">
      <c r="A91" s="86" t="str">
        <f>IF('Reverse Engineering Valuation'!A31 = "","    ---    ",'Reverse Engineering Valuation'!A31)</f>
        <v xml:space="preserve">    ---    </v>
      </c>
      <c r="B91" s="87" t="str">
        <f>IF(ROUND(B97,1)&gt;0,CONCATENATE("Under by ",ROUND(B97,1)), IF(ROUND(B97,1)&lt;0, CONCATENATE("OVER BY ",ROUND(B97,1)), "You Matched"))</f>
        <v>You Matched</v>
      </c>
      <c r="C91" s="85">
        <f t="shared" ref="C91:N91" si="28">C70</f>
        <v>45658</v>
      </c>
      <c r="D91" s="85">
        <f t="shared" si="28"/>
        <v>45689</v>
      </c>
      <c r="E91" s="85">
        <f t="shared" si="28"/>
        <v>45717</v>
      </c>
      <c r="F91" s="85">
        <f t="shared" si="28"/>
        <v>45748</v>
      </c>
      <c r="G91" s="85">
        <f t="shared" si="28"/>
        <v>45778</v>
      </c>
      <c r="H91" s="85">
        <f t="shared" si="28"/>
        <v>45809</v>
      </c>
      <c r="I91" s="85">
        <f t="shared" si="28"/>
        <v>45839</v>
      </c>
      <c r="J91" s="85">
        <f t="shared" si="28"/>
        <v>45870</v>
      </c>
      <c r="K91" s="85">
        <f t="shared" si="28"/>
        <v>45901</v>
      </c>
      <c r="L91" s="85">
        <f t="shared" si="28"/>
        <v>45931</v>
      </c>
      <c r="M91" s="85">
        <f t="shared" si="28"/>
        <v>45962</v>
      </c>
      <c r="N91" s="85">
        <f t="shared" si="28"/>
        <v>45992</v>
      </c>
      <c r="O91" s="88" t="str">
        <f t="shared" ref="O91:AJ91" si="29" xml:space="preserve">  CONCATENATE("Ext +", COLUMN()-14)</f>
        <v>Ext +1</v>
      </c>
      <c r="P91" s="88" t="str">
        <f t="shared" si="29"/>
        <v>Ext +2</v>
      </c>
      <c r="Q91" s="88" t="str">
        <f t="shared" si="29"/>
        <v>Ext +3</v>
      </c>
      <c r="R91" s="88" t="str">
        <f t="shared" si="29"/>
        <v>Ext +4</v>
      </c>
      <c r="S91" s="88" t="str">
        <f t="shared" si="29"/>
        <v>Ext +5</v>
      </c>
      <c r="T91" s="88" t="str">
        <f t="shared" si="29"/>
        <v>Ext +6</v>
      </c>
      <c r="U91" s="88" t="str">
        <f t="shared" si="29"/>
        <v>Ext +7</v>
      </c>
      <c r="V91" s="88" t="str">
        <f t="shared" si="29"/>
        <v>Ext +8</v>
      </c>
      <c r="W91" s="88" t="str">
        <f t="shared" si="29"/>
        <v>Ext +9</v>
      </c>
      <c r="X91" s="88" t="str">
        <f t="shared" si="29"/>
        <v>Ext +10</v>
      </c>
      <c r="Y91" s="88" t="str">
        <f t="shared" si="29"/>
        <v>Ext +11</v>
      </c>
      <c r="Z91" s="88" t="str">
        <f t="shared" si="29"/>
        <v>Ext +12</v>
      </c>
      <c r="AA91" s="89" t="str">
        <f t="shared" si="29"/>
        <v>Ext +13</v>
      </c>
      <c r="AB91" s="89" t="str">
        <f t="shared" si="29"/>
        <v>Ext +14</v>
      </c>
      <c r="AC91" s="89" t="str">
        <f t="shared" si="29"/>
        <v>Ext +15</v>
      </c>
      <c r="AD91" s="89" t="str">
        <f t="shared" si="29"/>
        <v>Ext +16</v>
      </c>
      <c r="AE91" s="89" t="str">
        <f t="shared" si="29"/>
        <v>Ext +17</v>
      </c>
      <c r="AF91" s="89" t="str">
        <f t="shared" si="29"/>
        <v>Ext +18</v>
      </c>
      <c r="AG91" s="89" t="str">
        <f t="shared" si="29"/>
        <v>Ext +19</v>
      </c>
      <c r="AH91" s="89" t="str">
        <f t="shared" si="29"/>
        <v>Ext +20</v>
      </c>
      <c r="AI91" s="89" t="str">
        <f t="shared" si="29"/>
        <v>Ext +21</v>
      </c>
      <c r="AJ91" s="89" t="str">
        <f t="shared" si="29"/>
        <v>Ext +22</v>
      </c>
    </row>
    <row r="92" spans="1:38">
      <c r="A92" s="90" t="str">
        <f>A71</f>
        <v xml:space="preserve">Number of customers @ </v>
      </c>
      <c r="B92" s="50">
        <f>'Reverse Engineering Valuation'!B31</f>
        <v>0</v>
      </c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1"/>
      <c r="AL92" s="1"/>
    </row>
    <row r="93" spans="1:38">
      <c r="A93" s="90" t="s">
        <v>80</v>
      </c>
      <c r="B93" s="52"/>
      <c r="C93" s="50" t="str">
        <f>IF(C92*B93*B92,C92*B93*B92,"")</f>
        <v/>
      </c>
      <c r="D93" s="50" t="str">
        <f>IF(D92*B93*B92,D92*B93*B92,"")</f>
        <v/>
      </c>
      <c r="E93" s="50" t="str">
        <f>IF(E92*B93*B92,E92*B93*B92,"")</f>
        <v/>
      </c>
      <c r="F93" s="50" t="str">
        <f>IF(F92*B93*B92,F92*B93*B92,"")</f>
        <v/>
      </c>
      <c r="G93" s="50" t="str">
        <f>IF(G92*B93*B92,G92*B93*B92,"")</f>
        <v/>
      </c>
      <c r="H93" s="50" t="str">
        <f>IF(H92*B93*B92,H92*B93*B92,"")</f>
        <v/>
      </c>
      <c r="I93" s="50" t="str">
        <f>IF(I92*B93*B92,I92*B93*B92,"")</f>
        <v/>
      </c>
      <c r="J93" s="50" t="str">
        <f>IF(J92*B93*B92,J92*B93*B92,"")</f>
        <v/>
      </c>
      <c r="K93" s="50" t="str">
        <f>IF(K92*B93*B92,K92*B93*B92,"")</f>
        <v/>
      </c>
      <c r="L93" s="50" t="str">
        <f>IF(L92*B93*B92,L92*B93*B92,"")</f>
        <v/>
      </c>
      <c r="M93" s="50" t="str">
        <f>IF(M92*B93*B92,M92*B93*B92,"")</f>
        <v/>
      </c>
      <c r="N93" s="50" t="str">
        <f>IF(N92*B93*B92,N92*B93*B92,"")</f>
        <v/>
      </c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1"/>
    </row>
    <row r="94" spans="1:38">
      <c r="A94" s="90" t="s">
        <v>81</v>
      </c>
      <c r="B94" s="53"/>
      <c r="C94" s="50" t="str">
        <f>IF(IF((COLUMN()-2-B94)&gt;0,INDEX(C92:Z92,1, (COLUMN()-2-B94)),0)&gt;=1,(B92* IF((COLUMN()-2-B94)&gt;0,INDEX(C92:Z92,1, (COLUMN()-2-B94)),0)*(1-B93))/(B95+1),"")</f>
        <v/>
      </c>
      <c r="D94" s="50" t="str">
        <f>IF(IF((COLUMN()-2-B94)&gt;0,INDEX(C92:Z92,1, (COLUMN()-2-B94)),0)&gt;=1,(B92* IF((COLUMN()-2-B94)&gt;0,INDEX(C92:Z92,1, (COLUMN()-2-B94)),0)*(1-B93))/(B95+1),"")</f>
        <v/>
      </c>
      <c r="E94" s="50" t="str">
        <f>IF(IF((COLUMN()-2-B94)&gt;0,INDEX(C92:Z92,1, (COLUMN()-2-B94)),0)&gt;=1,(B92* IF((COLUMN()-2-B94)&gt;0,INDEX(C92:Z92,1, (COLUMN()-2-B94)),0)*(1-B93))/(B95+1),"")</f>
        <v/>
      </c>
      <c r="F94" s="50" t="str">
        <f>IF(IF((COLUMN()-2-B94)&gt;0,INDEX(C92:Z92,1, (COLUMN()-2-B94)),0)&gt;=1,(B92* IF((COLUMN()-2-B94)&gt;0,INDEX(C92:Z92,1, (COLUMN()-2-B94)),0)*(1-B93))/(B95+1),"")</f>
        <v/>
      </c>
      <c r="G94" s="50" t="str">
        <f>IF(IF((COLUMN()-2-B94)&gt;0,INDEX(C92:Z92,1, (COLUMN()-2-B94)),0)&gt;=1,(B92* IF((COLUMN()-2-B94)&gt;0,INDEX(C92:Z92,1, (COLUMN()-2-B94)),0)*(1-B93))/(B95+1),"")</f>
        <v/>
      </c>
      <c r="H94" s="50" t="str">
        <f>IF(IF((COLUMN()-2-B94)&gt;0,INDEX(C92:Z92,1, (COLUMN()-2-B94)),0)&gt;=1,(B92* IF((COLUMN()-2-B94)&gt;0,INDEX(C92:Z92,1, (COLUMN()-2-B94)),0)*(1-B93))/(B95+1),"")</f>
        <v/>
      </c>
      <c r="I94" s="50" t="str">
        <f>IF(IF((COLUMN()-2-B94)&gt;0,INDEX(C92:Z92,1, (COLUMN()-2-B94)),0)&gt;=1,(B92* IF((COLUMN()-2-B94)&gt;0,INDEX(C92:Z92,1, (COLUMN()-2-B94)),0)*(1-B93))/(B95+1),"")</f>
        <v/>
      </c>
      <c r="J94" s="50" t="str">
        <f>IF(IF((COLUMN()-2-B94)&gt;0,INDEX(C92:Z92,1, (COLUMN()-2-B94)),0)&gt;=1,(B92* IF((COLUMN()-2-B94)&gt;0,INDEX(C92:Z92,1, (COLUMN()-2-B94)),0)*(1-B93))/(B95+1),"")</f>
        <v/>
      </c>
      <c r="K94" s="50" t="str">
        <f>IF(IF((COLUMN()-2-B94)&gt;0,INDEX(C92:Z92,1, (COLUMN()-2-B94)),0)&gt;=1,(B92* IF((COLUMN()-2-B94)&gt;0,INDEX(C92:Z92,1, (COLUMN()-2-B94)),0)*(1-B93))/(B95+1),"")</f>
        <v/>
      </c>
      <c r="L94" s="50" t="str">
        <f>IF(IF((COLUMN()-2-B94)&gt;0,INDEX(C92:Z92,1, (COLUMN()-2-B94)),0)&gt;=1,(B92* IF((COLUMN()-2-B94)&gt;0,INDEX(C92:Z92,1, (COLUMN()-2-B94)),0)*(1-B93))/(B95+1),"")</f>
        <v/>
      </c>
      <c r="M94" s="50" t="str">
        <f>IF(IF((COLUMN()-2-B94)&gt;0,INDEX(C92:Z92,1, (COLUMN()-2-B94)),0)&gt;=1,(B92* IF((COLUMN()-2-B94)&gt;0,INDEX(C92:Z92,1, (COLUMN()-2-B94)),0)*(1-B93))/(B95+1),"")</f>
        <v/>
      </c>
      <c r="N94" s="50" t="str">
        <f>IF(IF((COLUMN()-2-B94)&gt;0,INDEX(C92:Z92,1, (COLUMN()-2-B94)),0)&gt;=1,(B92* IF((COLUMN()-2-B94)&gt;0,INDEX(C92:Z92,1, (COLUMN()-2-B94)),0)*(1-B93))/(B95+1),"")</f>
        <v/>
      </c>
      <c r="O94" s="72" t="str">
        <f>IF(IF((COLUMN()-2-B94)&gt;0,INDEX(C92:Z92,1, (COLUMN()-2-B94)),0)&gt;=1,(B92* IF((COLUMN()-2-B94)&gt;0,INDEX(C92:Z92,1, (COLUMN()-2-B94)),0)*(1-B93))/(B95+1),"")</f>
        <v/>
      </c>
      <c r="P94" s="72" t="str">
        <f>IF(IF((COLUMN()-2-B94)&gt;0,INDEX(C92:Z92,1, (COLUMN()-2-B94)),0)&gt;=1,(B92* IF((COLUMN()-2-B94)&gt;0,INDEX(C92:Z92,1, (COLUMN()-2-B94)),0)*(1-B93))/(B95+1),"")</f>
        <v/>
      </c>
      <c r="Q94" s="72" t="str">
        <f>IF(IF((COLUMN()-2-B94)&gt;0,INDEX(C92:Z92,1, (COLUMN()-2-B94)),0)&gt;=1,(B92* IF((COLUMN()-2-B94)&gt;0,INDEX(C92:Z92,1, (COLUMN()-2-B94)),0)*(1-B93))/(B95+1),"")</f>
        <v/>
      </c>
      <c r="R94" s="72" t="str">
        <f>IF(IF((COLUMN()-2-B94)&gt;0,INDEX(C92:Z92,1, (COLUMN()-2-B94)),0)&gt;=1,(B92* IF((COLUMN()-2-B94)&gt;0,INDEX(C92:Z92,1, (COLUMN()-2-B94)),0)*(1-B93))/(B95+1),"")</f>
        <v/>
      </c>
      <c r="S94" s="72" t="str">
        <f>IF(IF((COLUMN()-2-B94)&gt;0,INDEX(C92:Z92,1, (COLUMN()-2-B94)),0)&gt;=1,(B92* IF((COLUMN()-2-B94)&gt;0,INDEX(C92:Z92,1, (COLUMN()-2-B94)),0)*(1-B93))/(B95+1),"")</f>
        <v/>
      </c>
      <c r="T94" s="72" t="str">
        <f>IF(IF((COLUMN()-2-B94)&gt;0,INDEX(C92:Z92,1, (COLUMN()-2-B94)),0)&gt;=1,(B92* IF((COLUMN()-2-B94)&gt;0,INDEX(C92:Z92,1, (COLUMN()-2-B94)),0)*(1-B93))/(B95+1),"")</f>
        <v/>
      </c>
      <c r="U94" s="72" t="str">
        <f>IF(IF((COLUMN()-2-B94)&gt;0,INDEX(C92:Z92,1, (COLUMN()-2-B94)),0)&gt;=1,(B92* IF((COLUMN()-2-B94)&gt;0,INDEX(C92:Z92,1, (COLUMN()-2-B94)),0)*(1-B93))/(B95+1),"")</f>
        <v/>
      </c>
      <c r="V94" s="72" t="str">
        <f>IF(IF((COLUMN()-2-B94)&gt;0,INDEX(C92:Z92,1, (COLUMN()-2-B94)),0)&gt;=1,(B92* IF((COLUMN()-2-B94)&gt;0,INDEX(C92:Z92,1, (COLUMN()-2-B94)),0)*(1-B93))/(B95+1),"")</f>
        <v/>
      </c>
      <c r="W94" s="72" t="str">
        <f>IF(IF((COLUMN()-2-B94)&gt;0,INDEX(C92:Z92,1, (COLUMN()-2-B94)),0)&gt;=1,(B92* IF((COLUMN()-2-B94)&gt;0,INDEX(C92:Z92,1, (COLUMN()-2-B94)),0)*(1-B93))/(B95+1),"")</f>
        <v/>
      </c>
      <c r="X94" s="72" t="str">
        <f>IF(IF((COLUMN()-2-B94)&gt;0,INDEX(C92:Z92,1, (COLUMN()-2-B94)),0)&gt;=1,(B92* IF((COLUMN()-2-B94)&gt;0,INDEX(C92:Z92,1, (COLUMN()-2-B94)),0)*(1-B93))/(B95+1),"")</f>
        <v/>
      </c>
      <c r="Y94" s="72" t="str">
        <f>IF(IF((COLUMN()-2-B94)&gt;0,INDEX(C92:Z92,1, (COLUMN()-2-B94)),0)&gt;=1,(B92* IF((COLUMN()-2-B94)&gt;0,INDEX(C92:Z92,1, (COLUMN()-2-B94)),0)*(1-B93))/(B95+1),"")</f>
        <v/>
      </c>
      <c r="Z94" s="91" t="str">
        <f>IF(IF((COLUMN()-2-B94)&gt;0,INDEX(C92:Z92,1, (COLUMN()-2-B94)),0)&gt;=1,(B92* IF((COLUMN()-2-B94)&gt;0,INDEX(C92:Z92,1, (COLUMN()-2-B94)),0)*(1-B93))/(B95+1),"")</f>
        <v/>
      </c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1"/>
    </row>
    <row r="95" spans="1:38">
      <c r="A95" s="90" t="s">
        <v>82</v>
      </c>
      <c r="B95" s="53"/>
      <c r="C95" s="91"/>
      <c r="D95" s="50" t="str">
        <f>IF(SUM(D96),SUM(D96),"")</f>
        <v/>
      </c>
      <c r="E95" s="50" t="str">
        <f>IF(SUM(E96:E97),SUM(E96:E97),"")</f>
        <v/>
      </c>
      <c r="F95" s="50" t="str">
        <f>IF(SUM(F96:F98),SUM(F96:F98),"")</f>
        <v/>
      </c>
      <c r="G95" s="50" t="str">
        <f>IF(SUM(G96:G99),SUM(G96:G99),"")</f>
        <v/>
      </c>
      <c r="H95" s="50" t="str">
        <f>IF(SUM(H96:H100),SUM(H96:H100),"")</f>
        <v/>
      </c>
      <c r="I95" s="50" t="str">
        <f>IF(SUM(I96:I101),SUM(I96:I101),"")</f>
        <v/>
      </c>
      <c r="J95" s="50" t="str">
        <f>IF(SUM(J96:J102),SUM(J96:J102),"")</f>
        <v/>
      </c>
      <c r="K95" s="50" t="str">
        <f>IF(SUM(K96:K103),SUM(K96:K103),"")</f>
        <v/>
      </c>
      <c r="L95" s="50" t="str">
        <f>IF(SUM(L96:L104),SUM(L96:L104),"")</f>
        <v/>
      </c>
      <c r="M95" s="50" t="str">
        <f>IF(SUM(M96:M105),SUM(M96:M105),"")</f>
        <v/>
      </c>
      <c r="N95" s="50" t="str">
        <f>IF(SUM(N96:N106),SUM(N96:N106),"")</f>
        <v/>
      </c>
      <c r="O95" s="72" t="str">
        <f t="shared" ref="O95:Z95" si="30">IF(SUM(O96:O107),SUM(O96:O107),"")</f>
        <v/>
      </c>
      <c r="P95" s="72" t="str">
        <f t="shared" si="30"/>
        <v/>
      </c>
      <c r="Q95" s="72" t="str">
        <f t="shared" si="30"/>
        <v/>
      </c>
      <c r="R95" s="72" t="str">
        <f t="shared" si="30"/>
        <v/>
      </c>
      <c r="S95" s="72" t="str">
        <f t="shared" si="30"/>
        <v/>
      </c>
      <c r="T95" s="72" t="str">
        <f t="shared" si="30"/>
        <v/>
      </c>
      <c r="U95" s="72" t="str">
        <f t="shared" si="30"/>
        <v/>
      </c>
      <c r="V95" s="72" t="str">
        <f t="shared" si="30"/>
        <v/>
      </c>
      <c r="W95" s="72" t="str">
        <f t="shared" si="30"/>
        <v/>
      </c>
      <c r="X95" s="72" t="str">
        <f t="shared" si="30"/>
        <v/>
      </c>
      <c r="Y95" s="72" t="str">
        <f t="shared" si="30"/>
        <v/>
      </c>
      <c r="Z95" s="72" t="str">
        <f t="shared" si="30"/>
        <v/>
      </c>
      <c r="AA95" s="74" t="str">
        <f>IF(SUM(AA98:AA107),SUM(AA98:AA107),"")</f>
        <v/>
      </c>
      <c r="AB95" s="74" t="str">
        <f>IF(SUM(AB99:AB107),SUM(AB99:AB107),"")</f>
        <v/>
      </c>
      <c r="AC95" s="74" t="str">
        <f>IF(SUM(AC100:AC107),SUM(AC100:AC107),"")</f>
        <v/>
      </c>
      <c r="AD95" s="74" t="str">
        <f>IF(SUM(AD101:AD107),SUM(AD101:AD107),"")</f>
        <v/>
      </c>
      <c r="AE95" s="74" t="str">
        <f>IF(SUM(AE102:AE107),SUM(AE102:AE107),"")</f>
        <v/>
      </c>
      <c r="AF95" s="74" t="str">
        <f>IF(SUM(AF103:AF107),SUM(AF103:AF107),"")</f>
        <v/>
      </c>
      <c r="AG95" s="74" t="str">
        <f>IF(SUM(AG104:AG107),SUM(AG104:AG107),"")</f>
        <v/>
      </c>
      <c r="AH95" s="74" t="str">
        <f>IF(SUM(AH105:AH107),SUM(AH105:AH107),"")</f>
        <v/>
      </c>
      <c r="AI95" s="74" t="str">
        <f>IF(SUM(AI106:AI107),SUM(AI106:AI107),"")</f>
        <v/>
      </c>
      <c r="AJ95" s="74" t="str">
        <f>IF(SUM(AJ107),SUM(AJ107),"")</f>
        <v/>
      </c>
      <c r="AK95" s="1"/>
      <c r="AL95" s="1"/>
    </row>
    <row r="96" spans="1:38" hidden="1">
      <c r="A96" s="90" t="s">
        <v>83</v>
      </c>
      <c r="B96" s="51">
        <f>IF('Reverse Engineering Valuation'!F31,'Reverse Engineering Valuation'!H45,'Reverse Engineering Valuation'!E31)</f>
        <v>0</v>
      </c>
      <c r="C96" s="91"/>
      <c r="D96" s="50" t="str">
        <f>IF(OR(NOT(C92),(COLUMN()-3)-(B94+1)&lt;0,(B94+1+B95) - (COLUMN()-2) &lt;0),"",C92*(1-B93)/(B95+1)*B92)</f>
        <v/>
      </c>
      <c r="E96" s="50" t="str">
        <f>IF(OR(NOT(C92),(COLUMN()-3)-(B94+1)&lt;0,(B94+1+B95) - (COLUMN()-2) &lt;0),"",C92*(1-B93)/(B95+1)*B92)</f>
        <v/>
      </c>
      <c r="F96" s="50" t="str">
        <f>IF(OR(NOT(C92),(COLUMN()-3)-(B94+1)&lt;0,(B94+1+B95) - (COLUMN()-2) &lt;0),"",C92*(1-B93)/(B95+1)*B92)</f>
        <v/>
      </c>
      <c r="G96" s="50" t="str">
        <f>IF(OR(NOT(C92),(COLUMN()-3)-(B94+1)&lt;0,(B94+1+B95) - (COLUMN()-2) &lt;0),"",C92*(1-B93)/(B95+1)*B92)</f>
        <v/>
      </c>
      <c r="H96" s="50" t="str">
        <f>IF(OR(NOT(C92),(COLUMN()-3)-(B94+1)&lt;0,(B94+1+B95) - (COLUMN()-2) &lt;0),"",C92*(1-B93)/(B95+1)*B92)</f>
        <v/>
      </c>
      <c r="I96" s="50" t="str">
        <f>IF(OR(NOT(C92),(COLUMN()-3)-(B94+1)&lt;0,(B94+1+B95) - (COLUMN()-2) &lt;0),"",C92*(1-B93)/(B95+1)*B92)</f>
        <v/>
      </c>
      <c r="J96" s="50" t="str">
        <f>IF(OR(NOT(C92),(COLUMN()-3)-(B94+1)&lt;0,(B94+1+B95) - (COLUMN()-2) &lt;0),"",C92*(1-B93)/(B95+1)*B92)</f>
        <v/>
      </c>
      <c r="K96" s="50" t="str">
        <f>IF(OR(NOT(C92),(COLUMN()-3)-(B94+1)&lt;0,(B94+1+B95) - (COLUMN()-2) &lt;0),"",C92*(1-B93)/(B95+1)*B92)</f>
        <v/>
      </c>
      <c r="L96" s="50" t="str">
        <f>IF(OR(NOT(C92),(COLUMN()-3)-(B94+1)&lt;0,(B94+1+B95) - (COLUMN()-2) &lt;0),"",C92*(1-B93)/(B95+1)*B92)</f>
        <v/>
      </c>
      <c r="M96" s="50" t="str">
        <f>IF(OR(NOT(C92),(COLUMN()-3)-(B94+1)&lt;0,(B94+1+B95) - (COLUMN()-2) &lt;0),"",C92*(1-B93)/(B95+1)*B92)</f>
        <v/>
      </c>
      <c r="N96" s="50" t="str">
        <f>IF(OR(NOT(C92),(COLUMN()-3)-(B94+1)&lt;0,(B94+1+B95) - (COLUMN()-2) &lt;0),"",C92*(1-B93)/(B95+1)*B92)</f>
        <v/>
      </c>
      <c r="O96" s="72" t="str">
        <f>IF(OR(NOT(C92),(COLUMN()-3)-(B94+1)&lt;0,(B94+1+B95) - (COLUMN()-2) &lt;0),"",C92*(1-B93)/(B95+1)*B92)</f>
        <v/>
      </c>
      <c r="P96" s="72" t="str">
        <f>IF(OR(NOT(C92),(COLUMN()-3)-(B94+1)&lt;0,(B94+1+B95) - (COLUMN()-2) &lt;0),"",C92*(1-B93)/(B95+1)*B92)</f>
        <v/>
      </c>
      <c r="Q96" s="72" t="str">
        <f>IF(OR(NOT(C92),(COLUMN()-3)-(B94+1)&lt;0,(B94+1+B95) - (COLUMN()-2) &lt;0),"",C92*(1-B93)/(B95+1)*B92)</f>
        <v/>
      </c>
      <c r="R96" s="72" t="str">
        <f>IF(OR(NOT(C92),(COLUMN()-3)-(B94+1)&lt;0,(B94+1+B95) - (COLUMN()-2) &lt;0),"",C92*(1-B93)/(B95+1)*B92)</f>
        <v/>
      </c>
      <c r="S96" s="72" t="str">
        <f>IF(OR(NOT(C92),(COLUMN()-3)-(B94+1)&lt;0,(B94+1+B95) - (COLUMN()-2) &lt;0),"",C92*(1-B93)/(B95+1)*B92)</f>
        <v/>
      </c>
      <c r="T96" s="72" t="str">
        <f>IF(OR(NOT(C92),(COLUMN()-3)-(B94+1)&lt;0,(B94+1+B95) - (COLUMN()-2) &lt;0),"",C92*(1-B93)/(B95+1)*B92)</f>
        <v/>
      </c>
      <c r="U96" s="72" t="str">
        <f>IF(OR(NOT(C92),(COLUMN()-3)-(B94+1)&lt;0,(B94+1+B95) - (COLUMN()-2) &lt;0),"",C92*(1-B93)/(B95+1)*B92)</f>
        <v/>
      </c>
      <c r="V96" s="72" t="str">
        <f>IF(OR(NOT(C92),(COLUMN()-3)-(B94+1)&lt;0,(B94+1+B95) - (COLUMN()-2) &lt;0),"",C92*(1-B93)/(B95+1)*B92)</f>
        <v/>
      </c>
      <c r="W96" s="72" t="str">
        <f>IF(OR(NOT(C92),(COLUMN()-3)-(B94+1)&lt;0,(B94+1+B95) - (COLUMN()-2) &lt;0),"",C92*(1-B93)/(B95+1)*B92)</f>
        <v/>
      </c>
      <c r="X96" s="72" t="str">
        <f>IF(OR(NOT(C92),(COLUMN()-3)-(B94+1)&lt;0,(B94+1+B95) - (COLUMN()-2) &lt;0),"",C92*(1-B93)/(B95+1)*B92)</f>
        <v/>
      </c>
      <c r="Y96" s="72" t="str">
        <f>IF(OR(NOT(C92),(COLUMN()-3)-(B94+1)&lt;0,(B94+1+B95) - (COLUMN()-2) &lt;0),"",C92*(1-B93)/(B95+1)*B92)</f>
        <v/>
      </c>
      <c r="Z96" s="72" t="str">
        <f>IF(OR(NOT(C92),(COLUMN()-3)-(B94+1)&lt;0,(B94+1+B95) - (COLUMN()-2) &lt;0),"",C92*(1-B93)/(B95+1)*B92)</f>
        <v/>
      </c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1"/>
    </row>
    <row r="97" spans="1:37" hidden="1">
      <c r="A97" s="90" t="s">
        <v>84</v>
      </c>
      <c r="B97" s="54">
        <f>B96-SUM(C92:N92)</f>
        <v>0</v>
      </c>
      <c r="C97" s="91"/>
      <c r="D97" s="91"/>
      <c r="E97" s="50" t="str">
        <f>IF(OR(NOT(D92),(COLUMN()-3)-(B94+2)&lt;0,(B94+2 +B95) - (COLUMN()-2) &lt;0),"",D92*(1-B93)/(B95+1)*B92)</f>
        <v/>
      </c>
      <c r="F97" s="50" t="str">
        <f>IF(OR(NOT(D92),(COLUMN()-3)-(B94+2)&lt;0,(B94+2 +B95) - (COLUMN()-2) &lt;0),"",D92*(1-B93)/(B95+1)*B92)</f>
        <v/>
      </c>
      <c r="G97" s="50" t="str">
        <f>IF(OR(NOT(D92),(COLUMN()-3)-(B94+2)&lt;0,(B94+2 +B95) - (COLUMN()-2) &lt;0),"",D92*(1-B93)/(B95+1)*B92)</f>
        <v/>
      </c>
      <c r="H97" s="50" t="str">
        <f>IF(OR(NOT(D92),(COLUMN()-3)-(B94+2)&lt;0,(B94+2 +B95) - (COLUMN()-2) &lt;0),"",D92*(1-B93)/(B95+1)*B92)</f>
        <v/>
      </c>
      <c r="I97" s="50" t="str">
        <f>IF(OR(NOT(D92),(COLUMN()-3)-(B94+2)&lt;0,(B94+2 +B95) - (COLUMN()-2) &lt;0),"",D92*(1-B93)/(B95+1)*B92)</f>
        <v/>
      </c>
      <c r="J97" s="50" t="str">
        <f>IF(OR(NOT(D92),(COLUMN()-3)-(B94+2)&lt;0,(B94+2 +B95) - (COLUMN()-2) &lt;0),"",D92*(1-B93)/(B95+1)*B92)</f>
        <v/>
      </c>
      <c r="K97" s="50" t="str">
        <f>IF(OR(NOT(D92),(COLUMN()-3)-(B94+2)&lt;0,(B94+2 +B95) - (COLUMN()-2) &lt;0),"",D92*(1-B93)/(B95+1)*B92)</f>
        <v/>
      </c>
      <c r="L97" s="50" t="str">
        <f>IF(OR(NOT(D92),(COLUMN()-3)-(B94+2)&lt;0,(B94+2 +B95) - (COLUMN()-2) &lt;0),"",D92*(1-B93)/(B95+1)*B92)</f>
        <v/>
      </c>
      <c r="M97" s="50" t="str">
        <f>IF(OR(NOT(D92),(COLUMN()-3)-(B94+2)&lt;0,(B94+2 +B95) - (COLUMN()-2) &lt;0),"",D92*(1-B93)/(B95+1)*B92)</f>
        <v/>
      </c>
      <c r="N97" s="50" t="str">
        <f>IF(OR(NOT(D92),(COLUMN()-3)-(B94+2)&lt;0,(B94+2 +B95) - (COLUMN()-2) &lt;0),"",D92*(1-B93)/(B95+1)*B92)</f>
        <v/>
      </c>
      <c r="O97" s="72" t="str">
        <f>IF(OR(NOT(D92),(COLUMN()-3)-(B94+2)&lt;0,(B94+2 +B95) - (COLUMN()-2) &lt;0),"",D92*(1-B93)/(B95+1)*B92)</f>
        <v/>
      </c>
      <c r="P97" s="72" t="str">
        <f>IF(OR(NOT(D92),(COLUMN()-3)-(B94+2)&lt;0,(B94+2 +B95) - (COLUMN()-2) &lt;0),"",D92*(1-B93)/(B95+1)*B92)</f>
        <v/>
      </c>
      <c r="Q97" s="72" t="str">
        <f>IF(OR(NOT(D92),(COLUMN()-3)-(B94+2)&lt;0,(B94+2 +B95) - (COLUMN()-2) &lt;0),"",D92*(1-B93)/(B95+1)*B92)</f>
        <v/>
      </c>
      <c r="R97" s="72" t="str">
        <f>IF(OR(NOT(D92),(COLUMN()-3)-(B94+2)&lt;0,(B94+2 +B95) - (COLUMN()-2) &lt;0),"",D92*(1-B93)/(B95+1)*B92)</f>
        <v/>
      </c>
      <c r="S97" s="72" t="str">
        <f>IF(OR(NOT(D92),(COLUMN()-3)-(B94+2)&lt;0,(B94+2 +B95) - (COLUMN()-2) &lt;0),"",D92*(1-B93)/(B95+1)*B92)</f>
        <v/>
      </c>
      <c r="T97" s="72" t="str">
        <f>IF(OR(NOT(D92),(COLUMN()-3)-(B94+2)&lt;0,(B94+2 +B95) - (COLUMN()-2) &lt;0),"",D92*(1-B93)/(B95+1)*B92)</f>
        <v/>
      </c>
      <c r="U97" s="72" t="str">
        <f>IF(OR(NOT(D92),(COLUMN()-3)-(B94+2)&lt;0,(B94+2 +B95) - (COLUMN()-2) &lt;0),"",D92*(1-B93)/(B95+1)*B92)</f>
        <v/>
      </c>
      <c r="V97" s="72" t="str">
        <f>IF(OR(NOT(D92),(COLUMN()-3)-(B94+2)&lt;0,(B94+2 +B95) - (COLUMN()-2) &lt;0),"",D92*(1-B93)/(B95+1)*B92)</f>
        <v/>
      </c>
      <c r="W97" s="72" t="str">
        <f>IF(OR(NOT(D92),(COLUMN()-3)-(B94+2)&lt;0,(B94+2 +B95) - (COLUMN()-2) &lt;0),"",D92*(1-B93)/(B95+1)*B92)</f>
        <v/>
      </c>
      <c r="X97" s="72" t="str">
        <f>IF(OR(NOT(D92),(COLUMN()-3)-(B94+2)&lt;0,(B94+2 +B95) - (COLUMN()-2) &lt;0),"",D92*(1-B93)/(B95+1)*B92)</f>
        <v/>
      </c>
      <c r="Y97" s="72" t="str">
        <f>IF(OR(NOT(D92),(COLUMN()-3)-(B94+2)&lt;0,(B94+2 +B95) - (COLUMN()-2) &lt;0),"",D92*(1-B93)/(B95+1)*B92)</f>
        <v/>
      </c>
      <c r="Z97" s="72" t="str">
        <f>IF(OR(NOT(D92),(COLUMN()-3)-(B94+2)&lt;0,(B94+2 +B95) - (COLUMN()-2) &lt;0),"",D92*(1-B93)/(B95+1)*B92)</f>
        <v/>
      </c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1"/>
    </row>
    <row r="98" spans="1:37" hidden="1">
      <c r="A98" s="91"/>
      <c r="B98" s="91"/>
      <c r="C98" s="91"/>
      <c r="D98" s="91"/>
      <c r="E98" s="91"/>
      <c r="F98" s="50" t="str">
        <f>IF(OR(NOT(E92),(COLUMN()-3)-(B94+3)&lt;0,(B94+3+B95) - (COLUMN()-2) &lt;0),"",E92*(1-B93)/(B95+1)*B92)</f>
        <v/>
      </c>
      <c r="G98" s="50" t="str">
        <f>IF(OR(NOT(E92),(COLUMN()-3)-(B94+3)&lt;0,(B94+3+B95) - (COLUMN()-2) &lt;0),"",E92*(1-B93)/(B95+1)*B92)</f>
        <v/>
      </c>
      <c r="H98" s="50" t="str">
        <f>IF(OR(NOT(E92),(COLUMN()-3)-(B94+3)&lt;0,(B94+3+B95) - (COLUMN()-2) &lt;0),"",E92*(1-B93)/(B95+1)*B92)</f>
        <v/>
      </c>
      <c r="I98" s="50" t="str">
        <f>IF(OR(NOT(E92),(COLUMN()-3)-(B94+3)&lt;0,(B94+3+B95) - (COLUMN()-2) &lt;0),"",E92*(1-B93)/(B95+1)*B92)</f>
        <v/>
      </c>
      <c r="J98" s="50" t="str">
        <f>IF(OR(NOT(E92),(COLUMN()-3)-(B94+3)&lt;0,(B94+3+B95) - (COLUMN()-2) &lt;0),"",E92*(1-B93)/(B95+1)*B92)</f>
        <v/>
      </c>
      <c r="K98" s="50" t="str">
        <f>IF(OR(NOT(E92),(COLUMN()-3)-(B94+3)&lt;0,(B94+3+B95) - (COLUMN()-2) &lt;0),"",E92*(1-B93)/(B95+1)*B92)</f>
        <v/>
      </c>
      <c r="L98" s="50" t="str">
        <f>IF(OR(NOT(E92),(COLUMN()-3)-(B94+3)&lt;0,(B94+3+B95) - (COLUMN()-2) &lt;0),"",E92*(1-B93)/(B95+1)*B92)</f>
        <v/>
      </c>
      <c r="M98" s="50" t="str">
        <f>IF(OR(NOT(E92),(COLUMN()-3)-(B94+3)&lt;0,(B94+3+B95) - (COLUMN()-2) &lt;0),"",E92*(1-B93)/(B95+1)*B92)</f>
        <v/>
      </c>
      <c r="N98" s="50" t="str">
        <f>IF(OR(NOT(E92),(COLUMN()-3)-(B94+3)&lt;0,(B94+3+B95) - (COLUMN()-2) &lt;0),"",E92*(1-B93)/(B95+1)*B92)</f>
        <v/>
      </c>
      <c r="O98" s="72" t="str">
        <f>IF(OR(NOT(E92),(COLUMN()-3)-(B94+3)&lt;0,(B94+3+B95) - (COLUMN()-2) &lt;0),"",E92*(1-B93)/(B95+1)*B92)</f>
        <v/>
      </c>
      <c r="P98" s="72" t="str">
        <f>IF(OR(NOT(E92),(COLUMN()-3)-(B94+3)&lt;0,(B94+3+B95) - (COLUMN()-2) &lt;0),"",E92*(1-B93)/(B95+1)*B92)</f>
        <v/>
      </c>
      <c r="Q98" s="72" t="str">
        <f>IF(OR(NOT(E92),(COLUMN()-3)-(B94+3)&lt;0,(B94+3+B95) - (COLUMN()-2) &lt;0),"",E92*(1-B93)/(B95+1)*B92)</f>
        <v/>
      </c>
      <c r="R98" s="72" t="str">
        <f>IF(OR(NOT(E92),(COLUMN()-3)-(B94+3)&lt;0,(B94+3+B95) - (COLUMN()-2) &lt;0),"",E92*(1-B93)/(B95+1)*B92)</f>
        <v/>
      </c>
      <c r="S98" s="72" t="str">
        <f>IF(OR(NOT(E92),(COLUMN()-3)-(B94+3)&lt;0,(B94+3+B95) - (COLUMN()-2) &lt;0),"",E92*(1-B93)/(B95+1)*B92)</f>
        <v/>
      </c>
      <c r="T98" s="72" t="str">
        <f>IF(OR(NOT(E92),(COLUMN()-3)-(B94+3)&lt;0,(B94+3+B95) - (COLUMN()-2) &lt;0),"",E92*(1-B93)/(B95+1)*B92)</f>
        <v/>
      </c>
      <c r="U98" s="72" t="str">
        <f>IF(OR(NOT(E92),(COLUMN()-3)-(B94+3)&lt;0,(B94+3+B95) - (COLUMN()-2) &lt;0),"",E92*(1-B93)/(B95+1)*B92)</f>
        <v/>
      </c>
      <c r="V98" s="72" t="str">
        <f>IF(OR(NOT(E92),(COLUMN()-3)-(B94+3)&lt;0,(B94+3+B95) - (COLUMN()-2) &lt;0),"",E92*(1-B93)/(B95+1)*B92)</f>
        <v/>
      </c>
      <c r="W98" s="72" t="str">
        <f>IF(OR(NOT(E92),(COLUMN()-3)-(B94+3)&lt;0,(B94+3+B95) - (COLUMN()-2) &lt;0),"",E92*(1-B93)/(B95+1)*B92)</f>
        <v/>
      </c>
      <c r="X98" s="72" t="str">
        <f>IF(OR(NOT(E92),(COLUMN()-3)-(B94+3)&lt;0,(B94+3+B95) - (COLUMN()-2) &lt;0),"",E92*(1-B93)/(B95+1)*B92)</f>
        <v/>
      </c>
      <c r="Y98" s="72" t="str">
        <f>IF(OR(NOT(E92),(COLUMN()-3)-(B94+3)&lt;0,(B94+3+B95) - (COLUMN()-2) &lt;0),"",E92*(1-B93)/(B95+1)*B92)</f>
        <v/>
      </c>
      <c r="Z98" s="72" t="str">
        <f>IF(OR(NOT(E92),(COLUMN()-3)-(B94+3)&lt;0,(B94+3+B95) - (COLUMN()-2) &lt;0),"",E92*(1-B93)/(B95+1)*B92)</f>
        <v/>
      </c>
      <c r="AA98" s="74" t="str">
        <f>IF(OR(NOT(E92),(COLUMN()-3)-(B94+3)&lt;0,(B94+3+B95) - (COLUMN()-2) &lt;0),"",E92*(1-B93)/(B95+1)*B92)</f>
        <v/>
      </c>
      <c r="AB98" s="91"/>
      <c r="AC98" s="91"/>
      <c r="AD98" s="91"/>
      <c r="AE98" s="91"/>
      <c r="AF98" s="91"/>
      <c r="AG98" s="91"/>
      <c r="AH98" s="91"/>
      <c r="AI98" s="91"/>
      <c r="AJ98" s="91"/>
    </row>
    <row r="99" spans="1:37" hidden="1">
      <c r="A99" s="91"/>
      <c r="B99" s="91"/>
      <c r="C99" s="91"/>
      <c r="D99" s="91"/>
      <c r="E99" s="91"/>
      <c r="F99" s="91"/>
      <c r="G99" s="50" t="str">
        <f>IF(OR(NOT(F92),(COLUMN()-3)-(B94+4)&lt;0,(B94+4+B95) - (COLUMN()-2) &lt;0),"",F92*(1-B93)/(B95+1)*B92)</f>
        <v/>
      </c>
      <c r="H99" s="50" t="str">
        <f>IF(OR(NOT(F92),(COLUMN()-3)-(B94+4)&lt;0,(B94+4+B95) - (COLUMN()-2) &lt;0),"",F92*(1-B93)/(B95+1)*B92)</f>
        <v/>
      </c>
      <c r="I99" s="50" t="str">
        <f>IF(OR(NOT(F92),(COLUMN()-3)-(B94+4)&lt;0,(B94+4+B95) - (COLUMN()-2) &lt;0),"",F92*(1-B93)/(B95+1)*B92)</f>
        <v/>
      </c>
      <c r="J99" s="50" t="str">
        <f>IF(OR(NOT(F92),(COLUMN()-3)-(B94+4)&lt;0,(B94+4+B95) - (COLUMN()-2) &lt;0),"",F92*(1-B93)/(B95+1)*B92)</f>
        <v/>
      </c>
      <c r="K99" s="50" t="str">
        <f>IF(OR(NOT(F92),(COLUMN()-3)-(B94+4)&lt;0,(B94+4+B95) - (COLUMN()-2) &lt;0),"",F92*(1-B93)/(B95+1)*B92)</f>
        <v/>
      </c>
      <c r="L99" s="50" t="str">
        <f>IF(OR(NOT(F92),(COLUMN()-3)-(B94+4)&lt;0,(B94+4+B95) - (COLUMN()-2) &lt;0),"",F92*(1-B93)/(B95+1)*B92)</f>
        <v/>
      </c>
      <c r="M99" s="50" t="str">
        <f>IF(OR(NOT(F92),(COLUMN()-3)-(B94+4)&lt;0,(B94+4+B95) - (COLUMN()-2) &lt;0),"",F92*(1-B93)/(B95+1)*B92)</f>
        <v/>
      </c>
      <c r="N99" s="50" t="str">
        <f>IF(OR(NOT(F92),(COLUMN()-3)-(B94+4)&lt;0,(B94+4+B95) - (COLUMN()-2) &lt;0),"",F92*(1-B93)/(B95+1)*B92)</f>
        <v/>
      </c>
      <c r="O99" s="72" t="str">
        <f>IF(OR(NOT(F92),(COLUMN()-3)-(B94+4)&lt;0,(B94+4+B95) - (COLUMN()-2) &lt;0),"",F92*(1-B93)/(B95+1)*B92)</f>
        <v/>
      </c>
      <c r="P99" s="72" t="str">
        <f>IF(OR(NOT(F92),(COLUMN()-3)-(B94+4)&lt;0,(B94+4+B95) - (COLUMN()-2) &lt;0),"",F92*(1-B93)/(B95+1)*B92)</f>
        <v/>
      </c>
      <c r="Q99" s="72" t="str">
        <f>IF(OR(NOT(F92),(COLUMN()-3)-(B94+4)&lt;0,(B94+4+B95) - (COLUMN()-2) &lt;0),"",F92*(1-B93)/(B95+1)*B92)</f>
        <v/>
      </c>
      <c r="R99" s="72" t="str">
        <f>IF(OR(NOT(F92),(COLUMN()-3)-(B94+4)&lt;0,(B94+4+B95) - (COLUMN()-2) &lt;0),"",F92*(1-B93)/(B95+1)*B92)</f>
        <v/>
      </c>
      <c r="S99" s="72" t="str">
        <f>IF(OR(NOT(F92),(COLUMN()-3)-(B94+4)&lt;0,(B94+4+B95) - (COLUMN()-2) &lt;0),"",F92*(1-B93)/(B95+1)*B92)</f>
        <v/>
      </c>
      <c r="T99" s="72" t="str">
        <f>IF(OR(NOT(F92),(COLUMN()-3)-(B94+4)&lt;0,(B94+4+B95) - (COLUMN()-2) &lt;0),"",F92*(1-B93)/(B95+1)*B92)</f>
        <v/>
      </c>
      <c r="U99" s="72" t="str">
        <f>IF(OR(NOT(F92),(COLUMN()-3)-(B94+4)&lt;0,(B94+4+B95) - (COLUMN()-2) &lt;0),"",F92*(1-B93)/(B95+1)*B92)</f>
        <v/>
      </c>
      <c r="V99" s="72" t="str">
        <f>IF(OR(NOT(F92),(COLUMN()-3)-(B94+4)&lt;0,(B94+4+B95) - (COLUMN()-2) &lt;0),"",F92*(1-B93)/(B95+1)*B92)</f>
        <v/>
      </c>
      <c r="W99" s="72" t="str">
        <f>IF(OR(NOT(F92),(COLUMN()-3)-(B94+4)&lt;0,(B94+4+B95) - (COLUMN()-2) &lt;0),"",F92*(1-B93)/(B95+1)*B92)</f>
        <v/>
      </c>
      <c r="X99" s="72" t="str">
        <f>IF(OR(NOT(F92),(COLUMN()-3)-(B94+4)&lt;0,(B94+4+B95) - (COLUMN()-2) &lt;0),"",F92*(1-B93)/(B95+1)*B92)</f>
        <v/>
      </c>
      <c r="Y99" s="72" t="str">
        <f>IF(OR(NOT(F92),(COLUMN()-3)-(B94+4)&lt;0,(B94+4+B95) - (COLUMN()-2) &lt;0),"",F92*(1-B93)/(B95+1)*B92)</f>
        <v/>
      </c>
      <c r="Z99" s="72" t="str">
        <f>IF(OR(NOT(F92),(COLUMN()-3)-(B94+4)&lt;0,(B94+4+B95) - (COLUMN()-2) &lt;0),"",F92*(1-B93)/(B95+1)*B92)</f>
        <v/>
      </c>
      <c r="AA99" s="74" t="str">
        <f>IF(OR(NOT(F92),(COLUMN()-3)-(B94+4)&lt;0,(B94+4+B95) - (COLUMN()-2) &lt;0),"",F92*(1-B93)/(B95+1)*B92)</f>
        <v/>
      </c>
      <c r="AB99" s="74" t="str">
        <f>IF(OR(NOT(F92),(COLUMN()-3)-(B94+4)&lt;0,(B94+4+B95) - (COLUMN()-2) &lt;0),"",F92*(1-B93)/(B95+1)*B92)</f>
        <v/>
      </c>
      <c r="AC99" s="91"/>
      <c r="AD99" s="91"/>
      <c r="AE99" s="91"/>
      <c r="AF99" s="91"/>
      <c r="AG99" s="91"/>
      <c r="AH99" s="91"/>
      <c r="AI99" s="91"/>
      <c r="AJ99" s="91"/>
    </row>
    <row r="100" spans="1:37" hidden="1">
      <c r="A100" s="91"/>
      <c r="B100" s="91"/>
      <c r="C100" s="91"/>
      <c r="D100" s="91"/>
      <c r="E100" s="91"/>
      <c r="F100" s="91"/>
      <c r="G100" s="91"/>
      <c r="H100" s="50" t="str">
        <f>IF(OR(NOT(G92),(COLUMN()-3)-(B94+5)&lt;0,(B94+5+B95) - (COLUMN()-2) &lt;0),"",G92*(1-B93)/(B95+1)*B92)</f>
        <v/>
      </c>
      <c r="I100" s="50" t="str">
        <f>IF(OR(NOT(G92),(COLUMN()-3)-(B94+5)&lt;0,(B94+5+B95) - (COLUMN()-2) &lt;0),"",G92*(1-B93)/(B95+1)*B92)</f>
        <v/>
      </c>
      <c r="J100" s="50" t="str">
        <f>IF(OR(NOT(G92),(COLUMN()-3)-(B94+5)&lt;0,(B94+5+B95) - (COLUMN()-2) &lt;0),"",G92*(1-B93)/(B95+1)*B92)</f>
        <v/>
      </c>
      <c r="K100" s="50" t="str">
        <f>IF(OR(NOT(G92),(COLUMN()-3)-(B94+5)&lt;0,(B94+5+B95) - (COLUMN()-2) &lt;0),"",G92*(1-B93)/(B95+1)*B92)</f>
        <v/>
      </c>
      <c r="L100" s="50" t="str">
        <f>IF(OR(NOT(G92),(COLUMN()-3)-(B94+5)&lt;0,(B94+5+B95) - (COLUMN()-2) &lt;0),"",G92*(1-B93)/(B95+1)*B92)</f>
        <v/>
      </c>
      <c r="M100" s="50" t="str">
        <f>IF(OR(NOT(G92),(COLUMN()-3)-(B94+5)&lt;0,(B94+5+B95) - (COLUMN()-2) &lt;0),"",G92*(1-B93)/(B95+1)*B92)</f>
        <v/>
      </c>
      <c r="N100" s="50" t="str">
        <f>IF(OR(NOT(G92),(COLUMN()-3)-(B94+5)&lt;0,(B94+5+B95) - (COLUMN()-2) &lt;0),"",G92*(1-B93)/(B95+1)*B92)</f>
        <v/>
      </c>
      <c r="O100" s="72" t="str">
        <f>IF(OR(NOT(G92),(COLUMN()-3)-(B94+5)&lt;0,(B94+5+B95) - (COLUMN()-2) &lt;0),"",G92*(1-B93)/(B95+1)*B92)</f>
        <v/>
      </c>
      <c r="P100" s="72" t="str">
        <f>IF(OR(NOT(G92),(COLUMN()-3)-(B94+5)&lt;0,(B94+5+B95) - (COLUMN()-2) &lt;0),"",G92*(1-B93)/(B95+1)*B92)</f>
        <v/>
      </c>
      <c r="Q100" s="72" t="str">
        <f>IF(OR(NOT(G92),(COLUMN()-3)-(B94+5)&lt;0,(B94+5+B95) - (COLUMN()-2) &lt;0),"",G92*(1-B93)/(B95+1)*B92)</f>
        <v/>
      </c>
      <c r="R100" s="72" t="str">
        <f>IF(OR(NOT(G92),(COLUMN()-3)-(B94+5)&lt;0,(B94+5+B95) - (COLUMN()-2) &lt;0),"",G92*(1-B93)/(B95+1)*B92)</f>
        <v/>
      </c>
      <c r="S100" s="72" t="str">
        <f>IF(OR(NOT(G92),(COLUMN()-3)-(B94+5)&lt;0,(B94+5+B95) - (COLUMN()-2) &lt;0),"",G92*(1-B93)/(B95+1)*B92)</f>
        <v/>
      </c>
      <c r="T100" s="72" t="str">
        <f>IF(OR(NOT(G92),(COLUMN()-3)-(B94+5)&lt;0,(B94+5+B95) - (COLUMN()-2) &lt;0),"",G92*(1-B93)/(B95+1)*B92)</f>
        <v/>
      </c>
      <c r="U100" s="72" t="str">
        <f>IF(OR(NOT(G92),(COLUMN()-3)-(B94+5)&lt;0,(B94+5+B95) - (COLUMN()-2) &lt;0),"",G92*(1-B93)/(B95+1)*B92)</f>
        <v/>
      </c>
      <c r="V100" s="72" t="str">
        <f>IF(OR(NOT(G92),(COLUMN()-3)-(B94+5)&lt;0,(B94+5+B95) - (COLUMN()-2) &lt;0),"",G92*(1-B93)/(B95+1)*B92)</f>
        <v/>
      </c>
      <c r="W100" s="72" t="str">
        <f>IF(OR(NOT(G92),(COLUMN()-3)-(B94+5)&lt;0,(B94+5+B95) - (COLUMN()-2) &lt;0),"",G92*(1-B93)/(B95+1)*B92)</f>
        <v/>
      </c>
      <c r="X100" s="72" t="str">
        <f>IF(OR(NOT(G92),(COLUMN()-3)-(B94+5)&lt;0,(B94+5+B95) - (COLUMN()-2) &lt;0),"",G92*(1-B93)/(B95+1)*B92)</f>
        <v/>
      </c>
      <c r="Y100" s="72" t="str">
        <f>IF(OR(NOT(G92),(COLUMN()-3)-(B94+5)&lt;0,(B94+5+B95) - (COLUMN()-2) &lt;0),"",G92*(1-B93)/(B95+1)*B92)</f>
        <v/>
      </c>
      <c r="Z100" s="72" t="str">
        <f>IF(OR(NOT(G92),(COLUMN()-3)-(B94+5)&lt;0,(B94+5+B95) - (COLUMN()-2) &lt;0),"",G92*(1-B93)/(B95+1)*B92)</f>
        <v/>
      </c>
      <c r="AA100" s="74" t="str">
        <f>IF(OR(NOT(G92),(COLUMN()-3)-(B94+5)&lt;0,(B94+5+B95) - (COLUMN()-2) &lt;0),"",G92*(1-B93)/(B95+1)*B92)</f>
        <v/>
      </c>
      <c r="AB100" s="74" t="str">
        <f>IF(OR(NOT(G92),(COLUMN()-3)-(B94+5)&lt;0,(B94+5+B95) - (COLUMN()-2) &lt;0),"",G92*(1-B93)/(B95+1)*B92)</f>
        <v/>
      </c>
      <c r="AC100" s="74" t="str">
        <f>IF(OR(NOT(G92),(COLUMN()-3)-(B94+5)&lt;0,(B94+5+B95) - (COLUMN()-2) &lt;0),"",G92*(1-B93)/(B95+1)*B92)</f>
        <v/>
      </c>
      <c r="AD100" s="91"/>
      <c r="AE100" s="91"/>
      <c r="AF100" s="91"/>
      <c r="AG100" s="91"/>
      <c r="AH100" s="91"/>
      <c r="AI100" s="91"/>
      <c r="AJ100" s="91"/>
    </row>
    <row r="101" spans="1:37" hidden="1">
      <c r="A101" s="91"/>
      <c r="B101" s="91"/>
      <c r="C101" s="91"/>
      <c r="D101" s="91"/>
      <c r="E101" s="91"/>
      <c r="F101" s="91"/>
      <c r="G101" s="91"/>
      <c r="H101" s="91"/>
      <c r="I101" s="50" t="str">
        <f>IF(OR(NOT(H92),(COLUMN()-3)-(B94+6)&lt;0,(B94+6+B95) - (COLUMN()-2) &lt;0),"",H92*(1-B93)/(B95+1)*B92)</f>
        <v/>
      </c>
      <c r="J101" s="50" t="str">
        <f>IF(OR(NOT(H92),(COLUMN()-3)-(B94+6)&lt;0,(B94+6+B95) - (COLUMN()-2) &lt;0),"",H92*(1-B93)/(B95+1)*B92)</f>
        <v/>
      </c>
      <c r="K101" s="50" t="str">
        <f>IF(OR(NOT(H92),(COLUMN()-3)-(B94+6)&lt;0,(B94+6+B95) - (COLUMN()-2) &lt;0),"",H92*(1-B93)/(B95+1)*B92)</f>
        <v/>
      </c>
      <c r="L101" s="50" t="str">
        <f>IF(OR(NOT(H92),(COLUMN()-3)-(B94+6)&lt;0,(B94+6+B95) - (COLUMN()-2) &lt;0),"",H92*(1-B93)/(B95+1)*B92)</f>
        <v/>
      </c>
      <c r="M101" s="50" t="str">
        <f>IF(OR(NOT(H92),(COLUMN()-3)-(B94+6)&lt;0,(B94+6+B95) - (COLUMN()-2) &lt;0),"",H92*(1-B93)/(B95+1)*B92)</f>
        <v/>
      </c>
      <c r="N101" s="50" t="str">
        <f>IF(OR(NOT(H92),(COLUMN()-3)-(B94+6)&lt;0,(B94+6+B95) - (COLUMN()-2) &lt;0),"",H92*(1-B93)/(B95+1)*B92)</f>
        <v/>
      </c>
      <c r="O101" s="72" t="str">
        <f>IF(OR(NOT(H92),(COLUMN()-3)-(B94+6)&lt;0,(B94+6+B95) - (COLUMN()-2) &lt;0),"",H92*(1-B93)/(B95+1)*B92)</f>
        <v/>
      </c>
      <c r="P101" s="72" t="str">
        <f>IF(OR(NOT(H92),(COLUMN()-3)-(B94+6)&lt;0,(B94+6+B95) - (COLUMN()-2) &lt;0),"",H92*(1-B93)/(B95+1)*B92)</f>
        <v/>
      </c>
      <c r="Q101" s="72" t="str">
        <f>IF(OR(NOT(H92),(COLUMN()-3)-(B94+6)&lt;0,(B94+6+B95) - (COLUMN()-2) &lt;0),"",H92*(1-B93)/(B95+1)*B92)</f>
        <v/>
      </c>
      <c r="R101" s="72" t="str">
        <f>IF(OR(NOT(H92),(COLUMN()-3)-(B94+6)&lt;0,(B94+6+B95) - (COLUMN()-2) &lt;0),"",H92*(1-B93)/(B95+1)*B92)</f>
        <v/>
      </c>
      <c r="S101" s="72" t="str">
        <f>IF(OR(NOT(H92),(COLUMN()-3)-(B94+6)&lt;0,(B94+6+B95) - (COLUMN()-2) &lt;0),"",H92*(1-B93)/(B95+1)*B92)</f>
        <v/>
      </c>
      <c r="T101" s="72" t="str">
        <f>IF(OR(NOT(H92),(COLUMN()-3)-(B94+6)&lt;0,(B94+6+B95) - (COLUMN()-2) &lt;0),"",H92*(1-B93)/(B95+1)*B92)</f>
        <v/>
      </c>
      <c r="U101" s="72" t="str">
        <f>IF(OR(NOT(H92),(COLUMN()-3)-(B94+6)&lt;0,(B94+6+B95) - (COLUMN()-2) &lt;0),"",H92*(1-B93)/(B95+1)*B92)</f>
        <v/>
      </c>
      <c r="V101" s="72" t="str">
        <f>IF(OR(NOT(H92),(COLUMN()-3)-(B94+6)&lt;0,(B94+6+B95) - (COLUMN()-2) &lt;0),"",H92*(1-B93)/(B95+1)*B92)</f>
        <v/>
      </c>
      <c r="W101" s="72" t="str">
        <f>IF(OR(NOT(H92),(COLUMN()-3)-(B94+6)&lt;0,(B94+6+B95) - (COLUMN()-2) &lt;0),"",H92*(1-B93)/(B95+1)*B92)</f>
        <v/>
      </c>
      <c r="X101" s="72" t="str">
        <f>IF(OR(NOT(H92),(COLUMN()-3)-(B94+6)&lt;0,(B94+6+B95) - (COLUMN()-2) &lt;0),"",H92*(1-B93)/(B95+1)*B92)</f>
        <v/>
      </c>
      <c r="Y101" s="72" t="str">
        <f>IF(OR(NOT(H92),(COLUMN()-3)-(B94+6)&lt;0,(B94+6+B95) - (COLUMN()-2) &lt;0),"",H92*(1-B93)/(B95+1)*B92)</f>
        <v/>
      </c>
      <c r="Z101" s="72" t="str">
        <f>IF(OR(NOT(H92),(COLUMN()-3)-(B94+6)&lt;0,(B94+6+B95) - (COLUMN()-2) &lt;0),"",H92*(1-B93)/(B95+1)*B92)</f>
        <v/>
      </c>
      <c r="AA101" s="74" t="str">
        <f>IF(OR(NOT(H92),(COLUMN()-3)-(B94+6)&lt;0,(B94+6+B95) - (COLUMN()-2) &lt;0),"",H92*(1-B93)/(B95+1)*B92)</f>
        <v/>
      </c>
      <c r="AB101" s="74" t="str">
        <f>IF(OR(NOT(H92),(COLUMN()-3)-(B94+6)&lt;0,(B94+6+B95) - (COLUMN()-2) &lt;0),"",H92*(1-B93)/(B95+1)*B92)</f>
        <v/>
      </c>
      <c r="AC101" s="74" t="str">
        <f>IF(OR(NOT(H92),(COLUMN()-3)-(B94+6)&lt;0,(B94+6+B95) - (COLUMN()-2) &lt;0),"",H92*(1-B93)/(B95+1)*B92)</f>
        <v/>
      </c>
      <c r="AD101" s="74" t="str">
        <f>IF(OR(NOT(H92),(COLUMN()-3)-(B94+6)&lt;0,(B94+6+B95) - (COLUMN()-2) &lt;0),"",H92*(1-B93)/(B95+1)*B92)</f>
        <v/>
      </c>
      <c r="AE101" s="91"/>
      <c r="AF101" s="91"/>
      <c r="AG101" s="91"/>
      <c r="AH101" s="91"/>
      <c r="AI101" s="91"/>
      <c r="AJ101" s="91"/>
    </row>
    <row r="102" spans="1:37" hidden="1">
      <c r="A102" s="91"/>
      <c r="B102" s="91"/>
      <c r="C102" s="91"/>
      <c r="D102" s="91"/>
      <c r="E102" s="91"/>
      <c r="F102" s="91"/>
      <c r="G102" s="91"/>
      <c r="H102" s="91"/>
      <c r="I102" s="91"/>
      <c r="J102" s="50" t="str">
        <f>IF(OR(NOT(I92),(COLUMN()-3)-(B94+7)&lt;0,(B94+7+B95) - (COLUMN()-2) &lt;0),"",I92*(1-B93)/(B95+1)*B92)</f>
        <v/>
      </c>
      <c r="K102" s="50" t="str">
        <f>IF(OR(NOT(I92),(COLUMN()-3)-(B94+7)&lt;0,(B94+7+B95) - (COLUMN()-2) &lt;0),"",I92*(1-B93)/(B95+1)*B92)</f>
        <v/>
      </c>
      <c r="L102" s="50" t="str">
        <f>IF(OR(NOT(I92),(COLUMN()-3)-(B94+7)&lt;0,(B94+7+B95) - (COLUMN()-2) &lt;0),"",I92*(1-B93)/(B95+1)*B92)</f>
        <v/>
      </c>
      <c r="M102" s="50" t="str">
        <f>IF(OR(NOT(I92),(COLUMN()-3)-(B94+7)&lt;0,(B94+7+B95) - (COLUMN()-2) &lt;0),"",I92*(1-B93)/(B95+1)*B92)</f>
        <v/>
      </c>
      <c r="N102" s="50" t="str">
        <f>IF(OR(NOT(I92),(COLUMN()-3)-(B94+7)&lt;0,(B94+7+B95) - (COLUMN()-2) &lt;0),"",I92*(1-B93)/(B95+1)*B92)</f>
        <v/>
      </c>
      <c r="O102" s="72" t="str">
        <f>IF(OR(NOT(I92),(COLUMN()-3)-(B94+7)&lt;0,(B94+7+B95) - (COLUMN()-2) &lt;0),"",I92*(1-B93)/(B95+1)*B92)</f>
        <v/>
      </c>
      <c r="P102" s="72" t="str">
        <f>IF(OR(NOT(I92),(COLUMN()-3)-(B94+7)&lt;0,(B94+7+B95) - (COLUMN()-2) &lt;0),"",I92*(1-B93)/(B95+1)*B92)</f>
        <v/>
      </c>
      <c r="Q102" s="72" t="str">
        <f>IF(OR(NOT(I92),(COLUMN()-3)-(B94+7)&lt;0,(B94+7+B95) - (COLUMN()-2) &lt;0),"",I92*(1-B93)/(B95+1)*B92)</f>
        <v/>
      </c>
      <c r="R102" s="72" t="str">
        <f>IF(OR(NOT(I92),(COLUMN()-3)-(B94+7)&lt;0,(B94+7+B95) - (COLUMN()-2) &lt;0),"",I92*(1-B93)/(B95+1)*B92)</f>
        <v/>
      </c>
      <c r="S102" s="72" t="str">
        <f>IF(OR(NOT(I92),(COLUMN()-3)-(B94+7)&lt;0,(B94+7+B95) - (COLUMN()-2) &lt;0),"",I92*(1-B93)/(B95+1)*B92)</f>
        <v/>
      </c>
      <c r="T102" s="72" t="str">
        <f>IF(OR(NOT(I92),(COLUMN()-3)-(B94+7)&lt;0,(B94+7+B95) - (COLUMN()-2) &lt;0),"",I92*(1-B93)/(B95+1)*B92)</f>
        <v/>
      </c>
      <c r="U102" s="72" t="str">
        <f>IF(OR(NOT(I92),(COLUMN()-3)-(B94+7)&lt;0,(B94+7+B95) - (COLUMN()-2) &lt;0),"",I92*(1-B93)/(B95+1)*B92)</f>
        <v/>
      </c>
      <c r="V102" s="72" t="str">
        <f>IF(OR(NOT(I92),(COLUMN()-3)-(B94+7)&lt;0,(B94+7+B95) - (COLUMN()-2) &lt;0),"",I92*(1-B93)/(B95+1)*B92)</f>
        <v/>
      </c>
      <c r="W102" s="72" t="str">
        <f>IF(OR(NOT(I92),(COLUMN()-3)-(B94+7)&lt;0,(B94+7+B95) - (COLUMN()-2) &lt;0),"",I92*(1-B93)/(B95+1)*B92)</f>
        <v/>
      </c>
      <c r="X102" s="72" t="str">
        <f>IF(OR(NOT(I92),(COLUMN()-3)-(B94+7)&lt;0,(B94+7+B95) - (COLUMN()-2) &lt;0),"",I92*(1-B93)/(B95+1)*B92)</f>
        <v/>
      </c>
      <c r="Y102" s="72" t="str">
        <f>IF(OR(NOT(I92),(COLUMN()-3)-(B94+7)&lt;0,(B94+7+B95) - (COLUMN()-2) &lt;0),"",I92*(1-B93)/(B95+1)*B92)</f>
        <v/>
      </c>
      <c r="Z102" s="72" t="str">
        <f>IF(OR(NOT(I92),(COLUMN()-3)-(B94+7)&lt;0,(B94+7+B95) - (COLUMN()-2) &lt;0),"",I92*(1-B93)/(B95+1)*B92)</f>
        <v/>
      </c>
      <c r="AA102" s="74" t="str">
        <f>IF(OR(NOT(I92),(COLUMN()-3)-(B94+7)&lt;0,(B94+7+B95) - (COLUMN()-2) &lt;0),"",I92*(1-B93)/(B95+1)*B92)</f>
        <v/>
      </c>
      <c r="AB102" s="74" t="str">
        <f>IF(OR(NOT(I92),(COLUMN()-3)-(B94+7)&lt;0,(B94+7+B95) - (COLUMN()-2) &lt;0),"",I92*(1-B93)/(B95+1)*B92)</f>
        <v/>
      </c>
      <c r="AC102" s="74" t="str">
        <f>IF(OR(NOT(I92),(COLUMN()-3)-(B94+7)&lt;0,(B94+7+B95) - (COLUMN()-2) &lt;0),"",I92*(1-B93)/(B95+1)*B92)</f>
        <v/>
      </c>
      <c r="AD102" s="74" t="str">
        <f>IF(OR(NOT(I92),(COLUMN()-3)-(B94+7)&lt;0,(B94+7+B95) - (COLUMN()-2) &lt;0),"",I92*(1-B93)/(B95+1)*B92)</f>
        <v/>
      </c>
      <c r="AE102" s="74" t="str">
        <f>IF(OR(NOT(I92),(COLUMN()-3)-(B94+7)&lt;0,(B94+7+B95) - (COLUMN()-2) &lt;0),"",I92*(1-B93)/(B95+1)*B92)</f>
        <v/>
      </c>
      <c r="AF102" s="91"/>
      <c r="AG102" s="91"/>
      <c r="AH102" s="91"/>
      <c r="AI102" s="91"/>
      <c r="AJ102" s="91"/>
    </row>
    <row r="103" spans="1:37" hidden="1">
      <c r="A103" s="91"/>
      <c r="B103" s="91"/>
      <c r="C103" s="91"/>
      <c r="D103" s="91"/>
      <c r="E103" s="91"/>
      <c r="F103" s="91"/>
      <c r="G103" s="91"/>
      <c r="H103" s="91"/>
      <c r="I103" s="91"/>
      <c r="J103" s="91"/>
      <c r="K103" s="50" t="str">
        <f>IF(OR(NOT(J92),(COLUMN()-3)-(B94+8)&lt;0,(B94+8+B95) - (COLUMN()-2) &lt;0),"",J92*(1-B93)/(B95+1)*B92)</f>
        <v/>
      </c>
      <c r="L103" s="50" t="str">
        <f>IF(OR(NOT(J92),(COLUMN()-3)-(B94+8)&lt;0,(B94+8+B95) - (COLUMN()-2) &lt;0),"",J92*(1-B93)/(B95+1)*B92)</f>
        <v/>
      </c>
      <c r="M103" s="50" t="str">
        <f>IF(OR(NOT(J92),(COLUMN()-3)-(B94+8)&lt;0,(B94+8+B95) - (COLUMN()-2) &lt;0),"",J92*(1-B93)/(B95+1)*B92)</f>
        <v/>
      </c>
      <c r="N103" s="50" t="str">
        <f>IF(OR(NOT(J92),(COLUMN()-3)-(B94+8)&lt;0,(B94+8+B95) - (COLUMN()-2) &lt;0),"",J92*(1-B93)/(B95+1)*B92)</f>
        <v/>
      </c>
      <c r="O103" s="72" t="str">
        <f>IF(OR(NOT(J92),(COLUMN()-3)-(B94+8)&lt;0,(B94+8+B95) - (COLUMN()-2) &lt;0),"",J92*(1-B93)/(B95+1)*B92)</f>
        <v/>
      </c>
      <c r="P103" s="72" t="str">
        <f>IF(OR(NOT(J92),(COLUMN()-3)-(B94+8)&lt;0,(B94+8+B95) - (COLUMN()-2) &lt;0),"",J92*(1-B93)/(B95+1)*B92)</f>
        <v/>
      </c>
      <c r="Q103" s="72" t="str">
        <f>IF(OR(NOT(J92),(COLUMN()-3)-(B94+8)&lt;0,(B94+8+B95) - (COLUMN()-2) &lt;0),"",J92*(1-B93)/(B95+1)*B92)</f>
        <v/>
      </c>
      <c r="R103" s="72" t="str">
        <f>IF(OR(NOT(J92),(COLUMN()-3)-(B94+8)&lt;0,(B94+8+B95) - (COLUMN()-2) &lt;0),"",J92*(1-B93)/(B95+1)*B92)</f>
        <v/>
      </c>
      <c r="S103" s="72" t="str">
        <f>IF(OR(NOT(J92),(COLUMN()-3)-(B94+8)&lt;0,(B94+8+B95) - (COLUMN()-2) &lt;0),"",J92*(1-B93)/(B95+1)*B92)</f>
        <v/>
      </c>
      <c r="T103" s="72" t="str">
        <f>IF(OR(NOT(J92),(COLUMN()-3)-(B94+8)&lt;0,(B94+8+B95) - (COLUMN()-2) &lt;0),"",J92*(1-B93)/(B95+1)*B92)</f>
        <v/>
      </c>
      <c r="U103" s="72" t="str">
        <f>IF(OR(NOT(J92),(COLUMN()-3)-(B94+8)&lt;0,(B94+8+B95) - (COLUMN()-2) &lt;0),"",J92*(1-B93)/(B95+1)*B92)</f>
        <v/>
      </c>
      <c r="V103" s="72" t="str">
        <f>IF(OR(NOT(J92),(COLUMN()-3)-(B94+8)&lt;0,(B94+8+B95) - (COLUMN()-2) &lt;0),"",J92*(1-B93)/(B95+1)*B92)</f>
        <v/>
      </c>
      <c r="W103" s="72" t="str">
        <f>IF(OR(NOT(J92),(COLUMN()-3)-(B94+8)&lt;0,(B94+8+B95) - (COLUMN()-2) &lt;0),"",J92*(1-B93)/(B95+1)*B92)</f>
        <v/>
      </c>
      <c r="X103" s="72" t="str">
        <f>IF(OR(NOT(J92),(COLUMN()-3)-(B94+8)&lt;0,(B94+8+B95) - (COLUMN()-2) &lt;0),"",J92*(1-B93)/(B95+1)*B92)</f>
        <v/>
      </c>
      <c r="Y103" s="72" t="str">
        <f>IF(OR(NOT(J92),(COLUMN()-3)-(B94+8)&lt;0,(B94+8+B95) - (COLUMN()-2) &lt;0),"",J92*(1-B93)/(B95+1)*B92)</f>
        <v/>
      </c>
      <c r="Z103" s="72" t="str">
        <f>IF(OR(NOT(J92),(COLUMN()-3)-(B94+8)&lt;0,(B94+8+B95) - (COLUMN()-2) &lt;0),"",J92*(1-B93)/(B95+1)*B92)</f>
        <v/>
      </c>
      <c r="AA103" s="74" t="str">
        <f>IF(OR(NOT(J92),(COLUMN()-3)-(B94+8)&lt;0,(B94+8+B95) - (COLUMN()-2) &lt;0),"",J92*(1-B93)/(B95+1)*B92)</f>
        <v/>
      </c>
      <c r="AB103" s="74" t="str">
        <f>IF(OR(NOT(J92),(COLUMN()-3)-(B94+8)&lt;0,(B94+8+B95) - (COLUMN()-2) &lt;0),"",J92*(1-B93)/(B95+1)*B92)</f>
        <v/>
      </c>
      <c r="AC103" s="74" t="str">
        <f>IF(OR(NOT(J92),(COLUMN()-3)-(B94+8)&lt;0,(B94+8+B95) - (COLUMN()-2) &lt;0),"",J92*(1-B93)/(B95+1)*B92)</f>
        <v/>
      </c>
      <c r="AD103" s="74" t="str">
        <f>IF(OR(NOT(J92),(COLUMN()-3)-(B94+8)&lt;0,(B94+8+B95) - (COLUMN()-2) &lt;0),"",J92*(1-B93)/(B95+1)*B92)</f>
        <v/>
      </c>
      <c r="AE103" s="74" t="str">
        <f>IF(OR(NOT(J92),(COLUMN()-3)-(B94+8)&lt;0,(B94+8+B95) - (COLUMN()-2) &lt;0),"",J92*(1-B93)/(B95+1)*B92)</f>
        <v/>
      </c>
      <c r="AF103" s="74" t="str">
        <f>IF(OR(NOT(J92),(COLUMN()-3)-(B94+8)&lt;0,(B94+8+B95) - (COLUMN()-2) &lt;0),"",J92*(1-B93)/(B95+1)*B92)</f>
        <v/>
      </c>
      <c r="AG103" s="91"/>
      <c r="AH103" s="91"/>
      <c r="AI103" s="91"/>
      <c r="AJ103" s="91"/>
    </row>
    <row r="104" spans="1:37" hidden="1">
      <c r="A104" s="91"/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50" t="str">
        <f>IF(OR(NOT(K92),(COLUMN()-3)-(B94+9)&lt;0,(B94+9+B95) - (COLUMN()-2) &lt;0),"",K92*(1-B93)/(B95+1)*B92)</f>
        <v/>
      </c>
      <c r="M104" s="50" t="str">
        <f>IF(OR(NOT(K92),(COLUMN()-3)-(B94+9)&lt;0,(B94+9+B95) - (COLUMN()-2) &lt;0),"",K92*(1-B93)/(B95+1)*B92)</f>
        <v/>
      </c>
      <c r="N104" s="50" t="str">
        <f>IF(OR(NOT(K92),(COLUMN()-3)-(B94+9)&lt;0,(B94+9+B95) - (COLUMN()-2) &lt;0),"",K92*(1-B93)/(B95+1)*B92)</f>
        <v/>
      </c>
      <c r="O104" s="72" t="str">
        <f>IF(OR(NOT(K92),(COLUMN()-3)-(B94+9)&lt;0,(B94+9+B95) - (COLUMN()-2) &lt;0),"",K92*(1-B93)/(B95+1)*B92)</f>
        <v/>
      </c>
      <c r="P104" s="72" t="str">
        <f>IF(OR(NOT(K92),(COLUMN()-3)-(B94+9)&lt;0,(B94+9+B95) - (COLUMN()-2) &lt;0),"",K92*(1-B93)/(B95+1)*B92)</f>
        <v/>
      </c>
      <c r="Q104" s="72" t="str">
        <f>IF(OR(NOT(K92),(COLUMN()-3)-(B94+9)&lt;0,(B94+9+B95) - (COLUMN()-2) &lt;0),"",K92*(1-B93)/(B95+1)*B92)</f>
        <v/>
      </c>
      <c r="R104" s="72" t="str">
        <f>IF(OR(NOT(K92),(COLUMN()-3)-(B94+9)&lt;0,(B94+9+B95) - (COLUMN()-2) &lt;0),"",K92*(1-B93)/(B95+1)*B92)</f>
        <v/>
      </c>
      <c r="S104" s="72" t="str">
        <f>IF(OR(NOT(K92),(COLUMN()-3)-(B94+9)&lt;0,(B94+9+B95) - (COLUMN()-2) &lt;0),"",K92*(1-B93)/(B95+1)*B92)</f>
        <v/>
      </c>
      <c r="T104" s="72" t="str">
        <f>IF(OR(NOT(K92),(COLUMN()-3)-(B94+9)&lt;0,(B94+9+B95) - (COLUMN()-2) &lt;0),"",K92*(1-B93)/(B95+1)*B92)</f>
        <v/>
      </c>
      <c r="U104" s="72" t="str">
        <f>IF(OR(NOT(K92),(COLUMN()-3)-(B94+9)&lt;0,(B94+9+B95) - (COLUMN()-2) &lt;0),"",K92*(1-B93)/(B95+1)*B92)</f>
        <v/>
      </c>
      <c r="V104" s="72" t="str">
        <f>IF(OR(NOT(K92),(COLUMN()-3)-(B94+9)&lt;0,(B94+9+B95) - (COLUMN()-2) &lt;0),"",K92*(1-B93)/(B95+1)*B92)</f>
        <v/>
      </c>
      <c r="W104" s="72" t="str">
        <f>IF(OR(NOT(K92),(COLUMN()-3)-(B94+9)&lt;0,(B94+9+B95) - (COLUMN()-2) &lt;0),"",K92*(1-B93)/(B95+1)*B92)</f>
        <v/>
      </c>
      <c r="X104" s="72" t="str">
        <f>IF(OR(NOT(K92),(COLUMN()-3)-(B94+9)&lt;0,(B94+9+B95) - (COLUMN()-2) &lt;0),"",K92*(1-B93)/(B95+1)*B92)</f>
        <v/>
      </c>
      <c r="Y104" s="72" t="str">
        <f>IF(OR(NOT(K92),(COLUMN()-3)-(B94+9)&lt;0,(B94+9+B95) - (COLUMN()-2) &lt;0),"",K92*(1-B93)/(B95+1)*B92)</f>
        <v/>
      </c>
      <c r="Z104" s="72" t="str">
        <f>IF(OR(NOT(K92),(COLUMN()-3)-(B94+9)&lt;0,(B94+9+B95) - (COLUMN()-2) &lt;0),"",K92*(1-B93)/(B95+1)*B92)</f>
        <v/>
      </c>
      <c r="AA104" s="74" t="str">
        <f>IF(OR(NOT(K92),(COLUMN()-3)-(B94+9)&lt;0,(B94+9+B95) - (COLUMN()-2) &lt;0),"",K92*(1-B93)/(B95+1)*B92)</f>
        <v/>
      </c>
      <c r="AB104" s="74" t="str">
        <f>IF(OR(NOT(K92),(COLUMN()-3)-(B94+9)&lt;0,(B94+9+B95) - (COLUMN()-2) &lt;0),"",K92*(1-B93)/(B95+1)*B92)</f>
        <v/>
      </c>
      <c r="AC104" s="74" t="str">
        <f>IF(OR(NOT(K92),(COLUMN()-3)-(B94+9)&lt;0,(B94+9+B95) - (COLUMN()-2) &lt;0),"",K92*(1-B93)/(B95+1)*B92)</f>
        <v/>
      </c>
      <c r="AD104" s="74" t="str">
        <f>IF(OR(NOT(K92),(COLUMN()-3)-(B94+9)&lt;0,(B94+9+B95) - (COLUMN()-2) &lt;0),"",K92*(1-B93)/(B95+1)*B92)</f>
        <v/>
      </c>
      <c r="AE104" s="74" t="str">
        <f>IF(OR(NOT(K92),(COLUMN()-3)-(B94+9)&lt;0,(B94+9+B95) - (COLUMN()-2) &lt;0),"",K92*(1-B93)/(B95+1)*B92)</f>
        <v/>
      </c>
      <c r="AF104" s="74" t="str">
        <f>IF(OR(NOT(K92),(COLUMN()-3)-(B94+9)&lt;0,(B94+9+B95) - (COLUMN()-2) &lt;0),"",K92*(1-B93)/(B95+1)*B92)</f>
        <v/>
      </c>
      <c r="AG104" s="74" t="str">
        <f>IF(OR(NOT(K92),(COLUMN()-3)-(B94+9)&lt;0,(B94+9+B95) - (COLUMN()-2) &lt;0),"",K92*(1-B93)/(B95+1)*B92)</f>
        <v/>
      </c>
      <c r="AH104" s="91"/>
      <c r="AI104" s="91"/>
      <c r="AJ104" s="91"/>
    </row>
    <row r="105" spans="1:37" hidden="1">
      <c r="A105" s="91"/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50" t="str">
        <f>IF(OR(NOT(L92),(COLUMN()-3)-(B94+10)&lt;0,(B94+10+B95) - (COLUMN()-2) &lt;0),"",L92*(1-B93)/(B95+1)*B92)</f>
        <v/>
      </c>
      <c r="N105" s="50" t="str">
        <f>IF(OR(NOT(L92),(COLUMN()-3)-(B94+10)&lt;0,(B94+10+B95) - (COLUMN()-2) &lt;0),"",L92*(1-B93)/(B95+1)*B92)</f>
        <v/>
      </c>
      <c r="O105" s="72" t="str">
        <f>IF(OR(NOT(L92),(COLUMN()-3)-(B94+10)&lt;0,(B94+10+B95) - (COLUMN()-2) &lt;0),"",L92*(1-B93)/(B95+1)*B92)</f>
        <v/>
      </c>
      <c r="P105" s="72" t="str">
        <f>IF(OR(NOT(L92),(COLUMN()-3)-(B94+10)&lt;0,(B94+10+B95) - (COLUMN()-2) &lt;0),"",L92*(1-B93)/(B95+1)*B92)</f>
        <v/>
      </c>
      <c r="Q105" s="72" t="str">
        <f>IF(OR(NOT(L92),(COLUMN()-3)-(B94+10)&lt;0,(B94+10+B95) - (COLUMN()-2) &lt;0),"",L92*(1-B93)/(B95+1)*B92)</f>
        <v/>
      </c>
      <c r="R105" s="72" t="str">
        <f>IF(OR(NOT(L92),(COLUMN()-3)-(B94+10)&lt;0,(B94+10+B95) - (COLUMN()-2) &lt;0),"",L92*(1-B93)/(B95+1)*B92)</f>
        <v/>
      </c>
      <c r="S105" s="72" t="str">
        <f>IF(OR(NOT(L92),(COLUMN()-3)-(B94+10)&lt;0,(B94+10+B95) - (COLUMN()-2) &lt;0),"",L92*(1-B93)/(B95+1)*B92)</f>
        <v/>
      </c>
      <c r="T105" s="72" t="str">
        <f>IF(OR(NOT(L92),(COLUMN()-3)-(B94+10)&lt;0,(B94+10+B95) - (COLUMN()-2) &lt;0),"",L92*(1-B93)/(B95+1)*B92)</f>
        <v/>
      </c>
      <c r="U105" s="72" t="str">
        <f>IF(OR(NOT(L92),(COLUMN()-3)-(B94+10)&lt;0,(B94+10+B95) - (COLUMN()-2) &lt;0),"",L92*(1-B93)/(B95+1)*B92)</f>
        <v/>
      </c>
      <c r="V105" s="72" t="str">
        <f>IF(OR(NOT(L92),(COLUMN()-3)-(B94+10)&lt;0,(B94+10+B95) - (COLUMN()-2) &lt;0),"",L92*(1-B93)/(B95+1)*B92)</f>
        <v/>
      </c>
      <c r="W105" s="72" t="str">
        <f>IF(OR(NOT(L92),(COLUMN()-3)-(B94+10)&lt;0,(B94+10+B95) - (COLUMN()-2) &lt;0),"",L92*(1-B93)/(B95+1)*B92)</f>
        <v/>
      </c>
      <c r="X105" s="72" t="str">
        <f>IF(OR(NOT(L92),(COLUMN()-3)-(B94+10)&lt;0,(B94+10+B95) - (COLUMN()-2) &lt;0),"",L92*(1-B93)/(B95+1)*B92)</f>
        <v/>
      </c>
      <c r="Y105" s="72" t="str">
        <f>IF(OR(NOT(L92),(COLUMN()-3)-(B94+10)&lt;0,(B94+10+B95) - (COLUMN()-2) &lt;0),"",L92*(1-B93)/(B95+1)*B92)</f>
        <v/>
      </c>
      <c r="Z105" s="72" t="str">
        <f>IF(OR(NOT(L92),(COLUMN()-3)-(B94+10)&lt;0,(B94+10+B95) - (COLUMN()-2) &lt;0),"",L92*(1-B93)/(B95+1)*B92)</f>
        <v/>
      </c>
      <c r="AA105" s="74" t="str">
        <f>IF(OR(NOT(L92),(COLUMN()-3)-(B94+10)&lt;0,(B94+10+B95) - (COLUMN()-2) &lt;0),"",L92*(1-B93)/(B95+1)*B92)</f>
        <v/>
      </c>
      <c r="AB105" s="74" t="str">
        <f>IF(OR(NOT(L92),(COLUMN()-3)-(B94+10)&lt;0,(B94+10+B95) - (COLUMN()-2) &lt;0),"",L92*(1-B93)/(B95+1)*B92)</f>
        <v/>
      </c>
      <c r="AC105" s="74" t="str">
        <f>IF(OR(NOT(L92),(COLUMN()-3)-(B94+10)&lt;0,(B94+10+B95) - (COLUMN()-2) &lt;0),"",L92*(1-B93)/(B95+1)*B92)</f>
        <v/>
      </c>
      <c r="AD105" s="74" t="str">
        <f>IF(OR(NOT(L92),(COLUMN()-3)-(B94+10)&lt;0,(B94+10+B95) - (COLUMN()-2) &lt;0),"",L92*(1-B93)/(B95+1)*B92)</f>
        <v/>
      </c>
      <c r="AE105" s="74" t="str">
        <f>IF(OR(NOT(L92),(COLUMN()-3)-(B94+10)&lt;0,(B94+10+B95) - (COLUMN()-2) &lt;0),"",L92*(1-B93)/(B95+1)*B92)</f>
        <v/>
      </c>
      <c r="AF105" s="74" t="str">
        <f>IF(OR(NOT(L92),(COLUMN()-3)-(B94+10)&lt;0,(B94+10+B95) - (COLUMN()-2) &lt;0),"",L92*(1-B93)/(B95+1)*B92)</f>
        <v/>
      </c>
      <c r="AG105" s="74" t="str">
        <f>IF(OR(NOT(L92),(COLUMN()-3)-(B94+10)&lt;0,(B94+10+B95) - (COLUMN()-2) &lt;0),"",L92*(1-B93)/(B95+1)*B92)</f>
        <v/>
      </c>
      <c r="AH105" s="74" t="str">
        <f>IF(OR(NOT(L92),(COLUMN()-3)-(B94+10)&lt;0,(B94+10+B95) - (COLUMN()-2) &lt;0),"",L92*(1-B93)/(B95+1)*B92)</f>
        <v/>
      </c>
      <c r="AI105" s="91"/>
      <c r="AJ105" s="91"/>
    </row>
    <row r="106" spans="1:37" hidden="1">
      <c r="A106" s="91"/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50" t="str">
        <f>IF(OR(NOT(M92),(COLUMN()-3)-(B94+11)&lt;0,(B94+11+B95) - (COLUMN()-2) &lt;0),"",M92*(1-B93)/(B95+1)*B92)</f>
        <v/>
      </c>
      <c r="O106" s="72" t="str">
        <f>IF(OR(NOT(M92),(COLUMN()-3)-(B94+11)&lt;0,(B94+11+B95) - (COLUMN()-2) &lt;0),"",M92*(1-B93)/(B95+1)*B92)</f>
        <v/>
      </c>
      <c r="P106" s="72" t="str">
        <f>IF(OR(NOT(M92),(COLUMN()-3)-(B94+11)&lt;0,(B94+11+B95) - (COLUMN()-2) &lt;0),"",M92*(1-B93)/(B95+1)*B92)</f>
        <v/>
      </c>
      <c r="Q106" s="72" t="str">
        <f>IF(OR(NOT(M92),(COLUMN()-3)-(B94+11)&lt;0,(B94+11+B95) - (COLUMN()-2) &lt;0),"",M92*(1-B93)/(B95+1)*B92)</f>
        <v/>
      </c>
      <c r="R106" s="72" t="str">
        <f>IF(OR(NOT(M92),(COLUMN()-3)-(B94+11)&lt;0,(B94+11+B95) - (COLUMN()-2) &lt;0),"",M92*(1-B93)/(B95+1)*B92)</f>
        <v/>
      </c>
      <c r="S106" s="72" t="str">
        <f>IF(OR(NOT(M92),(COLUMN()-3)-(B94+11)&lt;0,(B94+11+B95) - (COLUMN()-2) &lt;0),"",M92*(1-B93)/(B95+1)*B92)</f>
        <v/>
      </c>
      <c r="T106" s="72" t="str">
        <f>IF(OR(NOT(M92),(COLUMN()-3)-(B94+11)&lt;0,(B94+11+B95) - (COLUMN()-2) &lt;0),"",M92*(1-B93)/(B95+1)*B92)</f>
        <v/>
      </c>
      <c r="U106" s="72" t="str">
        <f>IF(OR(NOT(M92),(COLUMN()-3)-(B94+11)&lt;0,(B94+11+B95) - (COLUMN()-2) &lt;0),"",M92*(1-B93)/(B95+1)*B92)</f>
        <v/>
      </c>
      <c r="V106" s="72" t="str">
        <f>IF(OR(NOT(M92),(COLUMN()-3)-(B94+11)&lt;0,(B94+11+B95) - (COLUMN()-2) &lt;0),"",M92*(1-B93)/(B95+1)*B92)</f>
        <v/>
      </c>
      <c r="W106" s="72" t="str">
        <f>IF(OR(NOT(M92),(COLUMN()-3)-(B94+11)&lt;0,(B94+11+B95) - (COLUMN()-2) &lt;0),"",M92*(1-B93)/(B95+1)*B92)</f>
        <v/>
      </c>
      <c r="X106" s="72" t="str">
        <f>IF(OR(NOT(M92),(COLUMN()-3)-(B94+11)&lt;0,(B94+11+B95) - (COLUMN()-2) &lt;0),"",M92*(1-B93)/(B95+1)*B92)</f>
        <v/>
      </c>
      <c r="Y106" s="72" t="str">
        <f>IF(OR(NOT(M92),(COLUMN()-3)-(B94+11)&lt;0,(B94+11+B95) - (COLUMN()-2) &lt;0),"",M92*(1-B93)/(B95+1)*B92)</f>
        <v/>
      </c>
      <c r="Z106" s="72" t="str">
        <f>IF(OR(NOT(M92),(COLUMN()-3)-(B94+11)&lt;0,(B94+11+B95) - (COLUMN()-2) &lt;0),"",M92*(1-B93)/(B95+1)*B92)</f>
        <v/>
      </c>
      <c r="AA106" s="74" t="str">
        <f>IF(OR(NOT(M92),(COLUMN()-3)-(B94+11)&lt;0,(B94+11+B95) - (COLUMN()-2) &lt;0),"",M92*(1-B93)/(B95+1)*B92)</f>
        <v/>
      </c>
      <c r="AB106" s="74" t="str">
        <f>IF(OR(NOT(M92),(COLUMN()-3)-(B94+11)&lt;0,(B94+11+B95) - (COLUMN()-2) &lt;0),"",M92*(1-B93)/(B95+1)*B92)</f>
        <v/>
      </c>
      <c r="AC106" s="74" t="str">
        <f>IF(OR(NOT(M92),(COLUMN()-3)-(B94+11)&lt;0,(B94+11+B95) - (COLUMN()-2) &lt;0),"",M92*(1-B93)/(B95+1)*B92)</f>
        <v/>
      </c>
      <c r="AD106" s="74" t="str">
        <f>IF(OR(NOT(M92),(COLUMN()-3)-(B94+11)&lt;0,(B94+11+B95) - (COLUMN()-2) &lt;0),"",M92*(1-B93)/(B95+1)*B92)</f>
        <v/>
      </c>
      <c r="AE106" s="74" t="str">
        <f>IF(OR(NOT(M92),(COLUMN()-3)-(B94+11)&lt;0,(B94+11+B95) - (COLUMN()-2) &lt;0),"",M92*(1-B93)/(B95+1)*B92)</f>
        <v/>
      </c>
      <c r="AF106" s="74" t="str">
        <f>IF(OR(NOT(M92),(COLUMN()-3)-(B94+11)&lt;0,(B94+11+B95) - (COLUMN()-2) &lt;0),"",M92*(1-B93)/(B95+1)*B92)</f>
        <v/>
      </c>
      <c r="AG106" s="74" t="str">
        <f>IF(OR(NOT(M92),(COLUMN()-3)-(B94+11)&lt;0,(B94+11+B95) - (COLUMN()-2) &lt;0),"",M92*(1-B93)/(B95+1)*B92)</f>
        <v/>
      </c>
      <c r="AH106" s="74" t="str">
        <f>IF(OR(NOT(M92),(COLUMN()-3)-(B94+11)&lt;0,(B94+11+B95) - (COLUMN()-2) &lt;0),"",M92*(1-B93)/(B95+1)*B92)</f>
        <v/>
      </c>
      <c r="AI106" s="74" t="str">
        <f>IF(OR(NOT(M92),(COLUMN()-3)-(B94+11)&lt;0,(B94+11+B95) - (COLUMN()-2) &lt;0),"",M92*(1-B93)/(B95+1)*B92)</f>
        <v/>
      </c>
      <c r="AJ106" s="91"/>
    </row>
    <row r="107" spans="1:37" hidden="1">
      <c r="A107" s="91"/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72" t="str">
        <f>IF(OR(NOT(N92),(COLUMN()-3)-(B94+12)&lt;0,(B94+12+B95) - (COLUMN()-2) &lt;0),"",N92*(1-B93)/(B95+1)*B92)</f>
        <v/>
      </c>
      <c r="P107" s="72" t="str">
        <f>IF(OR(NOT(N92),(COLUMN()-3)-(B94+12)&lt;0,(B94+12+B95) - (COLUMN()-2) &lt;0),"",N92*(1-B93)/(B95+1)*B92)</f>
        <v/>
      </c>
      <c r="Q107" s="72" t="str">
        <f>IF(OR(NOT(N92),(COLUMN()-3)-(B94+12)&lt;0,(B94+12+B95) - (COLUMN()-2) &lt;0),"",N92*(1-B93)/(B95+1)*B92)</f>
        <v/>
      </c>
      <c r="R107" s="72" t="str">
        <f>IF(OR(NOT(N92),(COLUMN()-3)-(B94+12)&lt;0,(B94+12+B95) - (COLUMN()-2) &lt;0),"",N92*(1-B93)/(B95+1)*B92)</f>
        <v/>
      </c>
      <c r="S107" s="72" t="str">
        <f>IF(OR(NOT(N92),(COLUMN()-3)-(B94+12)&lt;0,(B94+12+B95) - (COLUMN()-2) &lt;0),"",N92*(1-B93)/(B95+1)*B92)</f>
        <v/>
      </c>
      <c r="T107" s="72" t="str">
        <f>IF(OR(NOT(N92),(COLUMN()-3)-(B94+12)&lt;0,(B94+12+B95) - (COLUMN()-2) &lt;0),"",N92*(1-B93)/(B95+1)*B92)</f>
        <v/>
      </c>
      <c r="U107" s="72" t="str">
        <f>IF(OR(NOT(N92),(COLUMN()-3)-(B94+12)&lt;0,(B94+12+B95) - (COLUMN()-2) &lt;0),"",N92*(1-B93)/(B95+1)*B92)</f>
        <v/>
      </c>
      <c r="V107" s="72" t="str">
        <f>IF(OR(NOT(N92),(COLUMN()-3)-(B94+12)&lt;0,(B94+12+B95) - (COLUMN()-2) &lt;0),"",N92*(1-B93)/(B95+1)*B92)</f>
        <v/>
      </c>
      <c r="W107" s="72" t="str">
        <f>IF(OR(NOT(N92),(COLUMN()-3)-(B94+12)&lt;0,(B94+12+B95) - (COLUMN()-2) &lt;0),"",N92*(1-B93)/(B95+1)*B92)</f>
        <v/>
      </c>
      <c r="X107" s="72" t="str">
        <f>IF(OR(NOT(N92),(COLUMN()-3)-(B94+12)&lt;0,(B94+12+B95) - (COLUMN()-2) &lt;0),"",N92*(1-B93)/(B95+1)*B92)</f>
        <v/>
      </c>
      <c r="Y107" s="72" t="str">
        <f>IF(OR(NOT(N92),(COLUMN()-3)-(B94+12)&lt;0,(B94+12+B95) - (COLUMN()-2) &lt;0),"",N92*(1-B93)/(B95+1)*B92)</f>
        <v/>
      </c>
      <c r="Z107" s="72" t="str">
        <f>IF(OR(NOT(N92),(COLUMN()-3)-(B94+12)&lt;0,(B94+12+B95) - (COLUMN()-2) &lt;0),"",N92*(1-B93)/(B95+1)*B92)</f>
        <v/>
      </c>
      <c r="AA107" s="74" t="str">
        <f>IF(OR(NOT(N92),(COLUMN()-3)-(B94+12)&lt;0,(B94+12+B95) - (COLUMN()-2) &lt;0),"",N92*(1-B93)/(B95+1)*B92)</f>
        <v/>
      </c>
      <c r="AB107" s="74" t="str">
        <f>IF(OR(NOT(N92),(COLUMN()-3)-(B94+12)&lt;0,(B94+12+B95) - (COLUMN()-2) &lt;0),"",N92*(1-B93)/(B95+1)*B92)</f>
        <v/>
      </c>
      <c r="AC107" s="74" t="str">
        <f>IF(OR(NOT(N92),(COLUMN()-3)-(B94+12)&lt;0,(B94+12+B95) - (COLUMN()-2) &lt;0),"",N92*(1-B93)/(B95+1)*B92)</f>
        <v/>
      </c>
      <c r="AD107" s="74" t="str">
        <f>IF(OR(NOT(N92),(COLUMN()-3)-(B94+12)&lt;0,(B94+12+B95) - (COLUMN()-2) &lt;0),"",N92*(1-B93)/(B95+1)*B92)</f>
        <v/>
      </c>
      <c r="AE107" s="74" t="str">
        <f>IF(OR(NOT(N92),(COLUMN()-3)-(B94+12)&lt;0,(B94+12+B95) - (COLUMN()-2) &lt;0),"",N92*(1-B93)/(B95+1)*B92)</f>
        <v/>
      </c>
      <c r="AF107" s="74" t="str">
        <f>IF(OR(NOT(N92),(COLUMN()-3)-(B94+12)&lt;0,(B94+12+B95) - (COLUMN()-2) &lt;0),"",N92*(1-B93)/(B95+1)*B92)</f>
        <v/>
      </c>
      <c r="AG107" s="74" t="str">
        <f>IF(OR(NOT(N92),(COLUMN()-3)-(B94+12)&lt;0,(B94+12+B95) - (COLUMN()-2) &lt;0),"",N92*(1-B93)/(B95+1)*B92)</f>
        <v/>
      </c>
      <c r="AH107" s="74" t="str">
        <f>IF(OR(NOT(N92),(COLUMN()-3)-(B94+12)&lt;0,(B94+12+B95) - (COLUMN()-2) &lt;0),"",N92*(1-B93)/(B95+1)*B92)</f>
        <v/>
      </c>
      <c r="AI107" s="74" t="str">
        <f>IF(OR(NOT(N92),(COLUMN()-3)-(B94+12)&lt;0,(B94+12+B95) - (COLUMN()-2) &lt;0),"",N92*(1-B93)/(B95+1)*B92)</f>
        <v/>
      </c>
      <c r="AJ107" s="74" t="str">
        <f>IF(OR(NOT(N92),(COLUMN()-3)-(B94+12)&lt;0,(B94+12+B95) - (COLUMN()-2) &lt;0),"",N92*(1-B93)/(B95+1)*B92)</f>
        <v/>
      </c>
    </row>
    <row r="108" spans="1:37">
      <c r="A108" s="90" t="s">
        <v>85</v>
      </c>
      <c r="B108" s="97"/>
      <c r="C108" s="92" t="str">
        <f>IF(-SUM(C93:C94)*B108,-SUM(C93:C94)*B108,"")</f>
        <v/>
      </c>
      <c r="D108" s="92" t="str">
        <f>IF(-SUM(D93:D95)*B108,-SUM(D93:D95)*B108,"")</f>
        <v/>
      </c>
      <c r="E108" s="92" t="str">
        <f>IF(-SUM(E93:E95)*B108,-SUM(E93:E95)*B108,"")</f>
        <v/>
      </c>
      <c r="F108" s="92" t="str">
        <f>IF(-SUM(F93:F95)*B108,-SUM(F93:F95)*B108,"")</f>
        <v/>
      </c>
      <c r="G108" s="92" t="str">
        <f>IF(-SUM(G93:G95)*B108,-SUM(G93:G95)*B108,"")</f>
        <v/>
      </c>
      <c r="H108" s="92" t="str">
        <f>IF(-SUM(H93:H95)*B108,-SUM(H93:H95)*B108,"")</f>
        <v/>
      </c>
      <c r="I108" s="92" t="str">
        <f>IF(-SUM(I93:I95)*B108,-SUM(I93:I95)*B108,"")</f>
        <v/>
      </c>
      <c r="J108" s="92" t="str">
        <f>IF(-SUM(J93:J95)*B108,-SUM(J93:J95)*B108,"")</f>
        <v/>
      </c>
      <c r="K108" s="92" t="str">
        <f>IF(-SUM(K93:K95)*B108,-SUM(K93:K95)*B108,"")</f>
        <v/>
      </c>
      <c r="L108" s="92" t="str">
        <f>IF(-SUM(L93:L95)*B108,-SUM(L93:L95)*B108,"")</f>
        <v/>
      </c>
      <c r="M108" s="92" t="str">
        <f>IF(-SUM(M93:M95)*B108,-SUM(M93:M95)*B108,"")</f>
        <v/>
      </c>
      <c r="N108" s="92" t="str">
        <f>IF(-SUM(N93:N95)*B108,-SUM(N93:N95)*B108,"")</f>
        <v/>
      </c>
      <c r="O108" s="92" t="str">
        <f>IF(-SUM(O94:O95)*B108,-SUM(O94:O95)*B108,"")</f>
        <v/>
      </c>
      <c r="P108" s="92" t="str">
        <f>IF(-SUM(P94:P95)*B108,-SUM(P94:P95)*B108,"")</f>
        <v/>
      </c>
      <c r="Q108" s="92" t="str">
        <f>IF(-SUM(Q94:Q95)*B108,-SUM(Q94:Q95)*B108,"")</f>
        <v/>
      </c>
      <c r="R108" s="92" t="str">
        <f>IF(-SUM(R94:R95)*B108,-SUM(R94:R95)*B108,"")</f>
        <v/>
      </c>
      <c r="S108" s="92" t="str">
        <f>IF(-SUM(S94:S95)*B108,-SUM(S94:S95)*B108,"")</f>
        <v/>
      </c>
      <c r="T108" s="92" t="str">
        <f>IF(-SUM(T94:T95)*B108,-SUM(T94:T95)*B108,"")</f>
        <v/>
      </c>
      <c r="U108" s="92" t="str">
        <f>IF(-SUM(U94:U95)*B108,-SUM(U94:U95)*B108,"")</f>
        <v/>
      </c>
      <c r="V108" s="92" t="str">
        <f>IF(-SUM(V94:V95)*B108,-SUM(V94:V95)*B108,"")</f>
        <v/>
      </c>
      <c r="W108" s="92" t="str">
        <f>IF(-SUM(W94:W95)*B108,-SUM(W94:W95)*B108,"")</f>
        <v/>
      </c>
      <c r="X108" s="92" t="str">
        <f>IF(-SUM(X94:X95)*B108,-SUM(X94:X95)*B108,"")</f>
        <v/>
      </c>
      <c r="Y108" s="92" t="str">
        <f>IF(-SUM(Y94:Y95)*B108,-SUM(Y94:Y95)*B108,"")</f>
        <v/>
      </c>
      <c r="Z108" s="92" t="str">
        <f>IF(-SUM(Z95)*B108,-Z95*B108,"")</f>
        <v/>
      </c>
      <c r="AA108" s="92" t="str">
        <f>IF(-SUM(AA95),-AA95*B108,"")</f>
        <v/>
      </c>
      <c r="AB108" s="92" t="str">
        <f>IF(-SUM(AB95)*B108,-AB95*B108,"")</f>
        <v/>
      </c>
      <c r="AC108" s="92" t="str">
        <f>IF(-SUM(AC95)*B108,-AC95*B108,"")</f>
        <v/>
      </c>
      <c r="AD108" s="92" t="str">
        <f>IF(-SUM(AD95)*B108,-AD95*B108,"")</f>
        <v/>
      </c>
      <c r="AE108" s="92" t="str">
        <f>IF(-SUM(AE95)*B108,-AE95*B108,"")</f>
        <v/>
      </c>
      <c r="AF108" s="92" t="str">
        <f>IF(-SUM(AF95)*B108,-AF95*B108,"")</f>
        <v/>
      </c>
      <c r="AG108" s="92" t="str">
        <f>IF(-SUM(AG95)*B108,-AG95*B108,"")</f>
        <v/>
      </c>
      <c r="AH108" s="92" t="str">
        <f>IF(-SUM(AH95)*B108,-AH95*B108,"")</f>
        <v/>
      </c>
      <c r="AI108" s="92" t="str">
        <f>IF(-SUM(AI95)*B108,-AI95*B108,"")</f>
        <v/>
      </c>
      <c r="AJ108" s="92" t="str">
        <f>IF(-SUM(AJ95)*B108,-AJ95*B108,"")</f>
        <v/>
      </c>
    </row>
    <row r="109" spans="1:37" ht="15" thickBot="1">
      <c r="A109" s="90" t="s">
        <v>86</v>
      </c>
      <c r="B109" s="60"/>
      <c r="C109" s="92" t="str">
        <f>IF(-B109*C92,-B109*C92,"")</f>
        <v/>
      </c>
      <c r="D109" s="92" t="str">
        <f>IF(-B109*D92,-B109*D92,"")</f>
        <v/>
      </c>
      <c r="E109" s="92" t="str">
        <f>IF(-B109*E92,-B109*E92,"")</f>
        <v/>
      </c>
      <c r="F109" s="92" t="str">
        <f>IF(-B109*F92,-B109*F92,"")</f>
        <v/>
      </c>
      <c r="G109" s="92" t="str">
        <f>IF(-B109*G92,-B109*G92,"")</f>
        <v/>
      </c>
      <c r="H109" s="92" t="str">
        <f>IF(-B109*H92,-B109*H92,"")</f>
        <v/>
      </c>
      <c r="I109" s="92" t="str">
        <f>IF(-B109*I92,-B109*I92,"")</f>
        <v/>
      </c>
      <c r="J109" s="92" t="str">
        <f>IF(-B109*J92,-B109*J92,"")</f>
        <v/>
      </c>
      <c r="K109" s="92" t="str">
        <f>IF(-B109*K92,-B109*K92,"")</f>
        <v/>
      </c>
      <c r="L109" s="92" t="str">
        <f>IF(-B109*L92,-B109*L92,"")</f>
        <v/>
      </c>
      <c r="M109" s="92" t="str">
        <f>IF(-B109*M92,-B109*M92,"")</f>
        <v/>
      </c>
      <c r="N109" s="92" t="str">
        <f>IF(-B109*N92,-B109*N92,"")</f>
        <v/>
      </c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</row>
    <row r="110" spans="1:37" ht="18.600000000000001" thickBot="1">
      <c r="B110" s="78" t="s">
        <v>87</v>
      </c>
      <c r="C110" s="98">
        <f>SUM(C93:C94)+SUM(C108:C109)</f>
        <v>0</v>
      </c>
      <c r="D110" s="93">
        <f>SUM(D93:D95)+SUM(D108:D109)</f>
        <v>0</v>
      </c>
      <c r="E110" s="93">
        <f t="shared" ref="E110" si="31">SUM(E93:E95)+SUM(E108:E109)</f>
        <v>0</v>
      </c>
      <c r="F110" s="93">
        <f t="shared" ref="F110" si="32">SUM(F93:F95)+SUM(F108:F109)</f>
        <v>0</v>
      </c>
      <c r="G110" s="93">
        <f t="shared" ref="G110:N110" si="33">SUM(G93:G95)+SUM(G108:G109)</f>
        <v>0</v>
      </c>
      <c r="H110" s="93">
        <f t="shared" si="33"/>
        <v>0</v>
      </c>
      <c r="I110" s="93">
        <f t="shared" si="33"/>
        <v>0</v>
      </c>
      <c r="J110" s="93">
        <f t="shared" si="33"/>
        <v>0</v>
      </c>
      <c r="K110" s="93">
        <f t="shared" si="33"/>
        <v>0</v>
      </c>
      <c r="L110" s="93">
        <f t="shared" si="33"/>
        <v>0</v>
      </c>
      <c r="M110" s="93">
        <f t="shared" si="33"/>
        <v>0</v>
      </c>
      <c r="N110" s="93">
        <f t="shared" si="33"/>
        <v>0</v>
      </c>
      <c r="O110" s="94">
        <f>SUM(O94:O95)+SUM(O108)</f>
        <v>0</v>
      </c>
      <c r="P110" s="94">
        <f t="shared" ref="P110:Y110" si="34">SUM(P94:P95)+SUM(P108)</f>
        <v>0</v>
      </c>
      <c r="Q110" s="94">
        <f t="shared" si="34"/>
        <v>0</v>
      </c>
      <c r="R110" s="94">
        <f t="shared" si="34"/>
        <v>0</v>
      </c>
      <c r="S110" s="94">
        <f t="shared" si="34"/>
        <v>0</v>
      </c>
      <c r="T110" s="94">
        <f t="shared" si="34"/>
        <v>0</v>
      </c>
      <c r="U110" s="94">
        <f t="shared" si="34"/>
        <v>0</v>
      </c>
      <c r="V110" s="94">
        <f t="shared" si="34"/>
        <v>0</v>
      </c>
      <c r="W110" s="94">
        <f t="shared" si="34"/>
        <v>0</v>
      </c>
      <c r="X110" s="94">
        <f t="shared" si="34"/>
        <v>0</v>
      </c>
      <c r="Y110" s="94">
        <f t="shared" si="34"/>
        <v>0</v>
      </c>
      <c r="Z110" s="94">
        <f>SUM(Z95)+SUM(Z108)</f>
        <v>0</v>
      </c>
      <c r="AA110" s="95">
        <f t="shared" ref="AA110:AJ110" si="35">SUM(AA95)+SUM(AA108)</f>
        <v>0</v>
      </c>
      <c r="AB110" s="95">
        <f t="shared" si="35"/>
        <v>0</v>
      </c>
      <c r="AC110" s="95">
        <f t="shared" si="35"/>
        <v>0</v>
      </c>
      <c r="AD110" s="95">
        <f t="shared" si="35"/>
        <v>0</v>
      </c>
      <c r="AE110" s="95">
        <f t="shared" si="35"/>
        <v>0</v>
      </c>
      <c r="AF110" s="95">
        <f t="shared" si="35"/>
        <v>0</v>
      </c>
      <c r="AG110" s="95">
        <f t="shared" si="35"/>
        <v>0</v>
      </c>
      <c r="AH110" s="95">
        <f t="shared" si="35"/>
        <v>0</v>
      </c>
      <c r="AI110" s="95">
        <f t="shared" si="35"/>
        <v>0</v>
      </c>
      <c r="AJ110" s="95">
        <f t="shared" si="35"/>
        <v>0</v>
      </c>
    </row>
    <row r="111" spans="1:37" ht="15" thickBot="1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</row>
    <row r="112" spans="1:37" ht="24" thickBot="1">
      <c r="B112" s="80" t="s">
        <v>88</v>
      </c>
      <c r="C112" s="79">
        <f>C110+C89+C68+C47+C26+C4+C3</f>
        <v>0</v>
      </c>
      <c r="D112" s="93">
        <f t="shared" ref="D112:N112" si="36">D110+D89+D68+D47+D26+D4+D3</f>
        <v>0</v>
      </c>
      <c r="E112" s="93">
        <f t="shared" si="36"/>
        <v>0</v>
      </c>
      <c r="F112" s="93">
        <f t="shared" si="36"/>
        <v>0</v>
      </c>
      <c r="G112" s="93">
        <f t="shared" si="36"/>
        <v>0</v>
      </c>
      <c r="H112" s="93">
        <f t="shared" si="36"/>
        <v>0</v>
      </c>
      <c r="I112" s="93">
        <f t="shared" si="36"/>
        <v>0</v>
      </c>
      <c r="J112" s="93">
        <f t="shared" si="36"/>
        <v>0</v>
      </c>
      <c r="K112" s="93">
        <f t="shared" si="36"/>
        <v>0</v>
      </c>
      <c r="L112" s="93">
        <f t="shared" si="36"/>
        <v>0</v>
      </c>
      <c r="M112" s="93">
        <f t="shared" si="36"/>
        <v>0</v>
      </c>
      <c r="N112" s="93">
        <f t="shared" si="36"/>
        <v>0</v>
      </c>
      <c r="O112" s="99">
        <f t="shared" ref="O112:AJ112" si="37">O110+O89+O68+O47+O26</f>
        <v>0</v>
      </c>
      <c r="P112" s="99">
        <f t="shared" si="37"/>
        <v>0</v>
      </c>
      <c r="Q112" s="99">
        <f t="shared" si="37"/>
        <v>0</v>
      </c>
      <c r="R112" s="99">
        <f t="shared" si="37"/>
        <v>0</v>
      </c>
      <c r="S112" s="99">
        <f t="shared" si="37"/>
        <v>0</v>
      </c>
      <c r="T112" s="99">
        <f t="shared" si="37"/>
        <v>0</v>
      </c>
      <c r="U112" s="99">
        <f t="shared" si="37"/>
        <v>0</v>
      </c>
      <c r="V112" s="99">
        <f t="shared" si="37"/>
        <v>0</v>
      </c>
      <c r="W112" s="99">
        <f t="shared" si="37"/>
        <v>0</v>
      </c>
      <c r="X112" s="99">
        <f t="shared" si="37"/>
        <v>0</v>
      </c>
      <c r="Y112" s="99">
        <f t="shared" si="37"/>
        <v>0</v>
      </c>
      <c r="Z112" s="99">
        <f t="shared" si="37"/>
        <v>0</v>
      </c>
      <c r="AA112" s="100">
        <f t="shared" si="37"/>
        <v>0</v>
      </c>
      <c r="AB112" s="100">
        <f t="shared" si="37"/>
        <v>0</v>
      </c>
      <c r="AC112" s="100">
        <f t="shared" si="37"/>
        <v>0</v>
      </c>
      <c r="AD112" s="100">
        <f t="shared" si="37"/>
        <v>0</v>
      </c>
      <c r="AE112" s="100">
        <f t="shared" si="37"/>
        <v>0</v>
      </c>
      <c r="AF112" s="100">
        <f t="shared" si="37"/>
        <v>0</v>
      </c>
      <c r="AG112" s="100">
        <f t="shared" si="37"/>
        <v>0</v>
      </c>
      <c r="AH112" s="100">
        <f t="shared" si="37"/>
        <v>0</v>
      </c>
      <c r="AI112" s="100">
        <f t="shared" si="37"/>
        <v>0</v>
      </c>
      <c r="AJ112" s="100">
        <f t="shared" si="37"/>
        <v>0</v>
      </c>
    </row>
    <row r="114" spans="1:14" ht="23.45">
      <c r="A114" s="84" t="s">
        <v>89</v>
      </c>
      <c r="C114" s="85">
        <f>C91</f>
        <v>45658</v>
      </c>
      <c r="D114" s="85">
        <f t="shared" ref="D114:N114" si="38">D91</f>
        <v>45689</v>
      </c>
      <c r="E114" s="85">
        <f t="shared" si="38"/>
        <v>45717</v>
      </c>
      <c r="F114" s="85">
        <f t="shared" si="38"/>
        <v>45748</v>
      </c>
      <c r="G114" s="85">
        <f t="shared" si="38"/>
        <v>45778</v>
      </c>
      <c r="H114" s="85">
        <f t="shared" si="38"/>
        <v>45809</v>
      </c>
      <c r="I114" s="85">
        <f t="shared" si="38"/>
        <v>45839</v>
      </c>
      <c r="J114" s="85">
        <f t="shared" si="38"/>
        <v>45870</v>
      </c>
      <c r="K114" s="85">
        <f t="shared" si="38"/>
        <v>45901</v>
      </c>
      <c r="L114" s="85">
        <f t="shared" si="38"/>
        <v>45931</v>
      </c>
      <c r="M114" s="85">
        <f t="shared" si="38"/>
        <v>45962</v>
      </c>
      <c r="N114" s="85">
        <f t="shared" si="38"/>
        <v>45992</v>
      </c>
    </row>
    <row r="115" spans="1:14">
      <c r="A115" s="58"/>
      <c r="B115" s="59" t="s">
        <v>90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58"/>
      <c r="B116" s="59" t="s">
        <v>91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58"/>
      <c r="B117" s="59" t="s">
        <v>92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58"/>
      <c r="B118" s="59" t="s">
        <v>93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 ht="15" thickBot="1">
      <c r="A119" s="58"/>
      <c r="B119" s="59" t="s">
        <v>94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 ht="24" thickBot="1">
      <c r="B120" s="101" t="s">
        <v>58</v>
      </c>
      <c r="C120" s="93">
        <f>SUM(C115:C119)</f>
        <v>0</v>
      </c>
      <c r="D120" s="102">
        <f t="shared" ref="D120:N120" si="39">SUM(D115:D119)</f>
        <v>0</v>
      </c>
      <c r="E120" s="102">
        <f t="shared" si="39"/>
        <v>0</v>
      </c>
      <c r="F120" s="102">
        <f t="shared" si="39"/>
        <v>0</v>
      </c>
      <c r="G120" s="102">
        <f t="shared" si="39"/>
        <v>0</v>
      </c>
      <c r="H120" s="102">
        <f t="shared" si="39"/>
        <v>0</v>
      </c>
      <c r="I120" s="102">
        <f t="shared" si="39"/>
        <v>0</v>
      </c>
      <c r="J120" s="102">
        <f t="shared" si="39"/>
        <v>0</v>
      </c>
      <c r="K120" s="102">
        <f t="shared" si="39"/>
        <v>0</v>
      </c>
      <c r="L120" s="102">
        <f t="shared" si="39"/>
        <v>0</v>
      </c>
      <c r="M120" s="102">
        <f t="shared" si="39"/>
        <v>0</v>
      </c>
      <c r="N120" s="103">
        <f t="shared" si="39"/>
        <v>0</v>
      </c>
    </row>
    <row r="122" spans="1:14" ht="23.45">
      <c r="A122" s="84" t="s">
        <v>95</v>
      </c>
      <c r="C122" s="85">
        <f>C114</f>
        <v>45658</v>
      </c>
      <c r="D122" s="85">
        <f t="shared" ref="D122:N122" si="40">D114</f>
        <v>45689</v>
      </c>
      <c r="E122" s="85">
        <f t="shared" si="40"/>
        <v>45717</v>
      </c>
      <c r="F122" s="85">
        <f t="shared" si="40"/>
        <v>45748</v>
      </c>
      <c r="G122" s="85">
        <f t="shared" si="40"/>
        <v>45778</v>
      </c>
      <c r="H122" s="85">
        <f t="shared" si="40"/>
        <v>45809</v>
      </c>
      <c r="I122" s="85">
        <f t="shared" si="40"/>
        <v>45839</v>
      </c>
      <c r="J122" s="85">
        <f t="shared" si="40"/>
        <v>45870</v>
      </c>
      <c r="K122" s="85">
        <f t="shared" si="40"/>
        <v>45901</v>
      </c>
      <c r="L122" s="85">
        <f t="shared" si="40"/>
        <v>45931</v>
      </c>
      <c r="M122" s="85">
        <f t="shared" si="40"/>
        <v>45962</v>
      </c>
      <c r="N122" s="85">
        <f t="shared" si="40"/>
        <v>45992</v>
      </c>
    </row>
    <row r="123" spans="1:14">
      <c r="A123" s="58"/>
      <c r="B123" s="59" t="s">
        <v>90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58"/>
      <c r="B124" s="59" t="s">
        <v>91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58"/>
      <c r="B125" s="59" t="s">
        <v>92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58"/>
      <c r="B126" s="59" t="s">
        <v>93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 ht="15" thickBot="1">
      <c r="A127" s="58"/>
      <c r="B127" s="59" t="s">
        <v>94</v>
      </c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 ht="24" thickBot="1">
      <c r="B128" s="101" t="s">
        <v>58</v>
      </c>
      <c r="C128" s="93">
        <f t="shared" ref="C128:N128" si="41">SUM(C123:C127)</f>
        <v>0</v>
      </c>
      <c r="D128" s="102">
        <f t="shared" si="41"/>
        <v>0</v>
      </c>
      <c r="E128" s="102">
        <f t="shared" si="41"/>
        <v>0</v>
      </c>
      <c r="F128" s="102">
        <f t="shared" si="41"/>
        <v>0</v>
      </c>
      <c r="G128" s="102">
        <f t="shared" si="41"/>
        <v>0</v>
      </c>
      <c r="H128" s="102">
        <f t="shared" si="41"/>
        <v>0</v>
      </c>
      <c r="I128" s="102">
        <f t="shared" si="41"/>
        <v>0</v>
      </c>
      <c r="J128" s="102">
        <f t="shared" si="41"/>
        <v>0</v>
      </c>
      <c r="K128" s="102">
        <f t="shared" si="41"/>
        <v>0</v>
      </c>
      <c r="L128" s="102">
        <f t="shared" si="41"/>
        <v>0</v>
      </c>
      <c r="M128" s="102">
        <f t="shared" si="41"/>
        <v>0</v>
      </c>
      <c r="N128" s="103">
        <f t="shared" si="41"/>
        <v>0</v>
      </c>
    </row>
    <row r="130" spans="1:14" ht="15" thickBot="1">
      <c r="C130" s="85">
        <f>C122</f>
        <v>45658</v>
      </c>
      <c r="D130" s="85">
        <f t="shared" ref="D130:N130" si="42">D122</f>
        <v>45689</v>
      </c>
      <c r="E130" s="85">
        <f t="shared" si="42"/>
        <v>45717</v>
      </c>
      <c r="F130" s="85">
        <f t="shared" si="42"/>
        <v>45748</v>
      </c>
      <c r="G130" s="85">
        <f t="shared" si="42"/>
        <v>45778</v>
      </c>
      <c r="H130" s="85">
        <f t="shared" si="42"/>
        <v>45809</v>
      </c>
      <c r="I130" s="85">
        <f t="shared" si="42"/>
        <v>45839</v>
      </c>
      <c r="J130" s="85">
        <f t="shared" si="42"/>
        <v>45870</v>
      </c>
      <c r="K130" s="85">
        <f t="shared" si="42"/>
        <v>45901</v>
      </c>
      <c r="L130" s="85">
        <f t="shared" si="42"/>
        <v>45931</v>
      </c>
      <c r="M130" s="85">
        <f t="shared" si="42"/>
        <v>45962</v>
      </c>
      <c r="N130" s="85">
        <f t="shared" si="42"/>
        <v>45992</v>
      </c>
    </row>
    <row r="131" spans="1:14" ht="29.45" thickBot="1">
      <c r="B131" s="104" t="s">
        <v>98</v>
      </c>
      <c r="C131" s="93">
        <f>C112+C120+C128+C3+C4</f>
        <v>0</v>
      </c>
      <c r="D131" s="102">
        <f t="shared" ref="D131:N131" si="43">D112+D120</f>
        <v>0</v>
      </c>
      <c r="E131" s="102">
        <f t="shared" si="43"/>
        <v>0</v>
      </c>
      <c r="F131" s="102">
        <f t="shared" si="43"/>
        <v>0</v>
      </c>
      <c r="G131" s="102">
        <f t="shared" si="43"/>
        <v>0</v>
      </c>
      <c r="H131" s="102">
        <f t="shared" si="43"/>
        <v>0</v>
      </c>
      <c r="I131" s="102">
        <f t="shared" si="43"/>
        <v>0</v>
      </c>
      <c r="J131" s="102">
        <f t="shared" si="43"/>
        <v>0</v>
      </c>
      <c r="K131" s="102">
        <f t="shared" si="43"/>
        <v>0</v>
      </c>
      <c r="L131" s="102">
        <f t="shared" si="43"/>
        <v>0</v>
      </c>
      <c r="M131" s="102">
        <f t="shared" si="43"/>
        <v>0</v>
      </c>
      <c r="N131" s="103">
        <f t="shared" si="43"/>
        <v>0</v>
      </c>
    </row>
    <row r="132" spans="1:14" ht="34.15" thickBot="1">
      <c r="A132" s="83" t="s">
        <v>99</v>
      </c>
      <c r="C132" s="85">
        <f>C130</f>
        <v>45658</v>
      </c>
      <c r="D132" s="85">
        <f t="shared" ref="D132:N132" si="44">D130</f>
        <v>45689</v>
      </c>
      <c r="E132" s="85">
        <f t="shared" si="44"/>
        <v>45717</v>
      </c>
      <c r="F132" s="85">
        <f t="shared" si="44"/>
        <v>45748</v>
      </c>
      <c r="G132" s="85">
        <f t="shared" si="44"/>
        <v>45778</v>
      </c>
      <c r="H132" s="85">
        <f t="shared" si="44"/>
        <v>45809</v>
      </c>
      <c r="I132" s="85">
        <f t="shared" si="44"/>
        <v>45839</v>
      </c>
      <c r="J132" s="85">
        <f t="shared" si="44"/>
        <v>45870</v>
      </c>
      <c r="K132" s="85">
        <f t="shared" si="44"/>
        <v>45901</v>
      </c>
      <c r="L132" s="85">
        <f t="shared" si="44"/>
        <v>45931</v>
      </c>
      <c r="M132" s="85">
        <f t="shared" si="44"/>
        <v>45962</v>
      </c>
      <c r="N132" s="85">
        <f t="shared" si="44"/>
        <v>45992</v>
      </c>
    </row>
    <row r="133" spans="1:14" ht="15" thickBot="1">
      <c r="A133" s="105" t="str">
        <f>'Pro Forma'!A17</f>
        <v>Include investments</v>
      </c>
      <c r="B133" s="106" t="str">
        <f>'Pro Forma'!B17</f>
        <v>Yes</v>
      </c>
      <c r="C133" s="93">
        <f>IF(B133="Yes",C131*'Pro Forma'!E16,(C131-C128)*'Pro Forma'!E16)</f>
        <v>0</v>
      </c>
      <c r="D133" s="102">
        <f>IF(B133="Yes",D131*'Pro Forma'!E16,(D131-D128)*'Pro Forma'!E16)</f>
        <v>0</v>
      </c>
      <c r="E133" s="102">
        <f>IF(B133="Yes",E131*'Pro Forma'!E16,(E131-C128)*'Pro Forma'!E16)</f>
        <v>0</v>
      </c>
      <c r="F133" s="102">
        <f>IF(B133="Yes",F131*'Pro Forma'!E16,(F131-C128)*'Pro Forma'!E16)</f>
        <v>0</v>
      </c>
      <c r="G133" s="102">
        <f>IF(B133="Yes",G131*'Pro Forma'!E16,(G131-C128)*'Pro Forma'!E16)</f>
        <v>0</v>
      </c>
      <c r="H133" s="102">
        <f>IF(B133="Yes",H131*'Pro Forma'!E16,(H131-C128)*'Pro Forma'!E16)</f>
        <v>0</v>
      </c>
      <c r="I133" s="102">
        <f>IF(B133="Yes",I131*'Pro Forma'!E16,(I131-C128)*'Pro Forma'!E16)</f>
        <v>0</v>
      </c>
      <c r="J133" s="102">
        <f>IF(B133="Yes",J131*'Pro Forma'!E16,(J131-C128)*'Pro Forma'!E16)</f>
        <v>0</v>
      </c>
      <c r="K133" s="102">
        <f>IF(B133="Yes",K131*'Pro Forma'!E16,(K131-C128)*'Pro Forma'!E16)</f>
        <v>0</v>
      </c>
      <c r="L133" s="102">
        <f>IF(B133="Yes",L131*'Pro Forma'!E16,(L131-C128)*'Pro Forma'!E16)</f>
        <v>0</v>
      </c>
      <c r="M133" s="102">
        <f>IF(B133="Yes",M131*'Pro Forma'!E16,(M131-C128)*'Pro Forma'!E16)</f>
        <v>0</v>
      </c>
      <c r="N133" s="103">
        <f>IF(B133="Yes",M131*'Pro Forma'!E16,(N131-C128)*'Pro Forma'!E16)</f>
        <v>0</v>
      </c>
    </row>
    <row r="134" spans="1:14">
      <c r="A134" s="81"/>
      <c r="B134" s="82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ht="15" thickBot="1">
      <c r="C135" s="85">
        <f>C132</f>
        <v>45658</v>
      </c>
      <c r="D135" s="85">
        <f t="shared" ref="D135:N135" si="45">D132</f>
        <v>45689</v>
      </c>
      <c r="E135" s="85">
        <f t="shared" si="45"/>
        <v>45717</v>
      </c>
      <c r="F135" s="85">
        <f t="shared" si="45"/>
        <v>45748</v>
      </c>
      <c r="G135" s="85">
        <f t="shared" si="45"/>
        <v>45778</v>
      </c>
      <c r="H135" s="85">
        <f t="shared" si="45"/>
        <v>45809</v>
      </c>
      <c r="I135" s="85">
        <f t="shared" si="45"/>
        <v>45839</v>
      </c>
      <c r="J135" s="85">
        <f t="shared" si="45"/>
        <v>45870</v>
      </c>
      <c r="K135" s="85">
        <f t="shared" si="45"/>
        <v>45901</v>
      </c>
      <c r="L135" s="85">
        <f t="shared" si="45"/>
        <v>45931</v>
      </c>
      <c r="M135" s="85">
        <f t="shared" si="45"/>
        <v>45962</v>
      </c>
      <c r="N135" s="85">
        <f t="shared" si="45"/>
        <v>45992</v>
      </c>
    </row>
    <row r="136" spans="1:14" ht="34.15" thickBot="1">
      <c r="A136" s="107" t="s">
        <v>100</v>
      </c>
      <c r="B136" s="108">
        <f ca="1">'Year 2'!N136</f>
        <v>2983.5835264042344</v>
      </c>
      <c r="C136" s="108">
        <f t="shared" ref="C136:N136" ca="1" si="46">IF(B137 = "No",B136+C131-C133-C139 -C172,B136+C131-C133-C139)</f>
        <v>-10002.32512276972</v>
      </c>
      <c r="D136" s="108">
        <f t="shared" ca="1" si="46"/>
        <v>-22988.233771943676</v>
      </c>
      <c r="E136" s="108">
        <f t="shared" ca="1" si="46"/>
        <v>-35974.142421117635</v>
      </c>
      <c r="F136" s="108">
        <f t="shared" ca="1" si="46"/>
        <v>-48960.051070291593</v>
      </c>
      <c r="G136" s="108">
        <f t="shared" ca="1" si="46"/>
        <v>-61945.959719465551</v>
      </c>
      <c r="H136" s="108">
        <f t="shared" ca="1" si="46"/>
        <v>-74931.868368639509</v>
      </c>
      <c r="I136" s="108">
        <f t="shared" ca="1" si="46"/>
        <v>-87917.777017813467</v>
      </c>
      <c r="J136" s="108">
        <f t="shared" ca="1" si="46"/>
        <v>-100903.68566698743</v>
      </c>
      <c r="K136" s="108">
        <f t="shared" ca="1" si="46"/>
        <v>-113889.59431616138</v>
      </c>
      <c r="L136" s="108">
        <f t="shared" ca="1" si="46"/>
        <v>-126875.50296533534</v>
      </c>
      <c r="M136" s="108">
        <f t="shared" ca="1" si="46"/>
        <v>-139861.4116145093</v>
      </c>
      <c r="N136" s="108">
        <f t="shared" ca="1" si="46"/>
        <v>-152847.32026368324</v>
      </c>
    </row>
    <row r="137" spans="1:14">
      <c r="A137" s="90" t="str">
        <f>'Pro Forma'!A25</f>
        <v>Exclude  Depreciation</v>
      </c>
      <c r="B137" s="106" t="str">
        <f>'Pro Forma'!A26</f>
        <v>Yes</v>
      </c>
      <c r="C137" s="12"/>
    </row>
    <row r="138" spans="1:14" ht="34.15" thickBot="1">
      <c r="A138" s="83" t="s">
        <v>65</v>
      </c>
      <c r="C138" s="85">
        <f t="shared" ref="C138:N138" si="47">C130</f>
        <v>45658</v>
      </c>
      <c r="D138" s="85">
        <f t="shared" si="47"/>
        <v>45689</v>
      </c>
      <c r="E138" s="85">
        <f t="shared" si="47"/>
        <v>45717</v>
      </c>
      <c r="F138" s="85">
        <f t="shared" si="47"/>
        <v>45748</v>
      </c>
      <c r="G138" s="85">
        <f t="shared" si="47"/>
        <v>45778</v>
      </c>
      <c r="H138" s="85">
        <f t="shared" si="47"/>
        <v>45809</v>
      </c>
      <c r="I138" s="85">
        <f t="shared" si="47"/>
        <v>45839</v>
      </c>
      <c r="J138" s="85">
        <f t="shared" si="47"/>
        <v>45870</v>
      </c>
      <c r="K138" s="85">
        <f t="shared" si="47"/>
        <v>45901</v>
      </c>
      <c r="L138" s="85">
        <f t="shared" si="47"/>
        <v>45931</v>
      </c>
      <c r="M138" s="85">
        <f t="shared" si="47"/>
        <v>45962</v>
      </c>
      <c r="N138" s="85">
        <f t="shared" si="47"/>
        <v>45992</v>
      </c>
    </row>
    <row r="139" spans="1:14" ht="29.45" thickBot="1">
      <c r="B139" s="104" t="s">
        <v>101</v>
      </c>
      <c r="C139" s="93">
        <f ca="1">C141+C150+C168++C173+C183+C190+C199+C203+C211+C235+C242+C258+C271+C284+C303</f>
        <v>12985.908649173954</v>
      </c>
      <c r="D139" s="93">
        <f t="shared" ref="D139:N139" ca="1" si="48">D141+D150+D168++D173+D183+D190+D199+D203+D211+D235+D242+D258+D271+D284+D303</f>
        <v>12985.908649173954</v>
      </c>
      <c r="E139" s="93">
        <f t="shared" ca="1" si="48"/>
        <v>12985.908649173954</v>
      </c>
      <c r="F139" s="93">
        <f t="shared" ca="1" si="48"/>
        <v>12985.908649173954</v>
      </c>
      <c r="G139" s="93">
        <f t="shared" ca="1" si="48"/>
        <v>12985.908649173954</v>
      </c>
      <c r="H139" s="93">
        <f t="shared" ca="1" si="48"/>
        <v>12985.908649173954</v>
      </c>
      <c r="I139" s="93">
        <f t="shared" ca="1" si="48"/>
        <v>12985.908649173954</v>
      </c>
      <c r="J139" s="93">
        <f t="shared" ca="1" si="48"/>
        <v>12985.908649173954</v>
      </c>
      <c r="K139" s="93">
        <f t="shared" ca="1" si="48"/>
        <v>12985.908649173954</v>
      </c>
      <c r="L139" s="93">
        <f t="shared" ca="1" si="48"/>
        <v>12985.908649173954</v>
      </c>
      <c r="M139" s="93">
        <f t="shared" ca="1" si="48"/>
        <v>12985.908649173954</v>
      </c>
      <c r="N139" s="93">
        <f t="shared" ca="1" si="48"/>
        <v>12985.908649173954</v>
      </c>
    </row>
    <row r="140" spans="1:14" ht="15" thickBot="1"/>
    <row r="141" spans="1:14" ht="24" thickBot="1">
      <c r="A141" s="84" t="s">
        <v>47</v>
      </c>
      <c r="B141" s="90" t="s">
        <v>102</v>
      </c>
      <c r="C141" s="93">
        <f>'Pro Forma'!E13/12</f>
        <v>12500</v>
      </c>
      <c r="D141" s="102">
        <f>'Pro Forma'!E13/12</f>
        <v>12500</v>
      </c>
      <c r="E141" s="102">
        <f>'Pro Forma'!E13/12</f>
        <v>12500</v>
      </c>
      <c r="F141" s="102">
        <f>'Pro Forma'!E13/12</f>
        <v>12500</v>
      </c>
      <c r="G141" s="102">
        <f>'Pro Forma'!E13/12</f>
        <v>12500</v>
      </c>
      <c r="H141" s="102">
        <f>'Pro Forma'!E13/12</f>
        <v>12500</v>
      </c>
      <c r="I141" s="102">
        <f>'Pro Forma'!E13/12</f>
        <v>12500</v>
      </c>
      <c r="J141" s="102">
        <f>'Pro Forma'!E13/12</f>
        <v>12500</v>
      </c>
      <c r="K141" s="102">
        <f>'Pro Forma'!E13/12</f>
        <v>12500</v>
      </c>
      <c r="L141" s="102">
        <f>'Pro Forma'!E13/12</f>
        <v>12500</v>
      </c>
      <c r="M141" s="102">
        <f>'Pro Forma'!E13/12</f>
        <v>12500</v>
      </c>
      <c r="N141" s="103">
        <f>'Pro Forma'!E13/12</f>
        <v>12500</v>
      </c>
    </row>
    <row r="144" spans="1:14" ht="24" thickBot="1">
      <c r="A144" s="84" t="s">
        <v>103</v>
      </c>
      <c r="B144" s="109" t="s">
        <v>104</v>
      </c>
    </row>
    <row r="145" spans="1:14" ht="15" thickBot="1">
      <c r="A145" s="90" t="str">
        <f>A7</f>
        <v>Kilter Tilter - Consumer Version</v>
      </c>
      <c r="B145" s="48"/>
      <c r="C145" s="110">
        <f>C26*B145</f>
        <v>0</v>
      </c>
      <c r="D145" s="110">
        <f>D26*B145</f>
        <v>0</v>
      </c>
      <c r="E145" s="110">
        <f>E26*B145</f>
        <v>0</v>
      </c>
      <c r="F145" s="110">
        <f>F26*B145</f>
        <v>0</v>
      </c>
      <c r="G145" s="110">
        <f>G26*B145</f>
        <v>0</v>
      </c>
      <c r="H145" s="110">
        <f>H26*B145</f>
        <v>0</v>
      </c>
      <c r="I145" s="110">
        <f>I26*B145</f>
        <v>0</v>
      </c>
      <c r="J145" s="110">
        <f>J26*B145</f>
        <v>0</v>
      </c>
      <c r="K145" s="110">
        <f>K26*B145</f>
        <v>0</v>
      </c>
      <c r="L145" s="110">
        <f>L26*B145</f>
        <v>0</v>
      </c>
      <c r="M145" s="110">
        <f>M26*B145</f>
        <v>0</v>
      </c>
      <c r="N145" s="110">
        <f>N26*B145</f>
        <v>0</v>
      </c>
    </row>
    <row r="146" spans="1:14" ht="15" thickBot="1">
      <c r="A146" s="90" t="str">
        <f>A28</f>
        <v>Kilter Tilter -Therapy Version</v>
      </c>
      <c r="B146" s="48"/>
      <c r="C146" s="110">
        <f>C47*B146</f>
        <v>0</v>
      </c>
      <c r="D146" s="110">
        <f>D47*B146</f>
        <v>0</v>
      </c>
      <c r="E146" s="110">
        <f>E47*B146</f>
        <v>0</v>
      </c>
      <c r="F146" s="110">
        <f>F47*B146</f>
        <v>0</v>
      </c>
      <c r="G146" s="110">
        <f>G47*B146</f>
        <v>0</v>
      </c>
      <c r="H146" s="110">
        <f>H47*B146</f>
        <v>0</v>
      </c>
      <c r="I146" s="110">
        <f>I47*B146</f>
        <v>0</v>
      </c>
      <c r="J146" s="110">
        <f>J47*B146</f>
        <v>0</v>
      </c>
      <c r="K146" s="110">
        <f>K47*B146</f>
        <v>0</v>
      </c>
      <c r="L146" s="110">
        <f>L47*B146</f>
        <v>0</v>
      </c>
      <c r="M146" s="110">
        <f>M47*B146</f>
        <v>0</v>
      </c>
      <c r="N146" s="110">
        <f>N47*B146</f>
        <v>0</v>
      </c>
    </row>
    <row r="147" spans="1:14" ht="15" thickBot="1">
      <c r="A147" s="90" t="str">
        <f>A49</f>
        <v>Kilter Roller</v>
      </c>
      <c r="B147" s="48"/>
      <c r="C147" s="110">
        <f>C68*B147</f>
        <v>0</v>
      </c>
      <c r="D147" s="110">
        <f>D68*B147</f>
        <v>0</v>
      </c>
      <c r="E147" s="110">
        <f>E68*B147</f>
        <v>0</v>
      </c>
      <c r="F147" s="110">
        <f>F68*B147</f>
        <v>0</v>
      </c>
      <c r="G147" s="110">
        <f>G68*B147</f>
        <v>0</v>
      </c>
      <c r="H147" s="110">
        <f>H68*B147</f>
        <v>0</v>
      </c>
      <c r="I147" s="110">
        <f>I68*B147</f>
        <v>0</v>
      </c>
      <c r="J147" s="110">
        <f>J68*B147</f>
        <v>0</v>
      </c>
      <c r="K147" s="110">
        <f>K68*B147</f>
        <v>0</v>
      </c>
      <c r="L147" s="110">
        <f>L68*B147</f>
        <v>0</v>
      </c>
      <c r="M147" s="110">
        <f>M68*B147</f>
        <v>0</v>
      </c>
      <c r="N147" s="110">
        <f>N68*B147</f>
        <v>0</v>
      </c>
    </row>
    <row r="148" spans="1:14" ht="15" thickBot="1">
      <c r="A148" s="90" t="str">
        <f>A70</f>
        <v xml:space="preserve">    ---    </v>
      </c>
      <c r="B148" s="48"/>
      <c r="C148" s="110">
        <f>C89*B148</f>
        <v>0</v>
      </c>
      <c r="D148" s="110">
        <f>D89*B148</f>
        <v>0</v>
      </c>
      <c r="E148" s="110">
        <f>E89*B148</f>
        <v>0</v>
      </c>
      <c r="F148" s="110">
        <f>F89*B148</f>
        <v>0</v>
      </c>
      <c r="G148" s="110">
        <f>G89*B148</f>
        <v>0</v>
      </c>
      <c r="H148" s="110">
        <f>H89*B148</f>
        <v>0</v>
      </c>
      <c r="I148" s="110">
        <f>I89*B148</f>
        <v>0</v>
      </c>
      <c r="J148" s="110">
        <f>J89*B148</f>
        <v>0</v>
      </c>
      <c r="K148" s="110">
        <f>K89*B148</f>
        <v>0</v>
      </c>
      <c r="L148" s="110">
        <f>L89*B148</f>
        <v>0</v>
      </c>
      <c r="M148" s="110">
        <f>M89*B148</f>
        <v>0</v>
      </c>
      <c r="N148" s="110">
        <f>N89*B148</f>
        <v>0</v>
      </c>
    </row>
    <row r="149" spans="1:14" ht="15" thickBot="1">
      <c r="A149" s="90" t="str">
        <f>A91</f>
        <v xml:space="preserve">    ---    </v>
      </c>
      <c r="B149" s="48"/>
      <c r="C149" s="110">
        <f>C110*B149</f>
        <v>0</v>
      </c>
      <c r="D149" s="110">
        <f>D110*B149</f>
        <v>0</v>
      </c>
      <c r="E149" s="110">
        <f>E110*B149</f>
        <v>0</v>
      </c>
      <c r="F149" s="110">
        <f>F110*B149</f>
        <v>0</v>
      </c>
      <c r="G149" s="110">
        <f>G110*B149</f>
        <v>0</v>
      </c>
      <c r="H149" s="110">
        <f>H110*B149</f>
        <v>0</v>
      </c>
      <c r="I149" s="110">
        <f>I110*B149</f>
        <v>0</v>
      </c>
      <c r="J149" s="110">
        <f>J110*B149</f>
        <v>0</v>
      </c>
      <c r="K149" s="110">
        <f>K110*B149</f>
        <v>0</v>
      </c>
      <c r="L149" s="110">
        <f>L110*B149</f>
        <v>0</v>
      </c>
      <c r="M149" s="110">
        <f>M110*B149</f>
        <v>0</v>
      </c>
      <c r="N149" s="110">
        <f>N110*B149</f>
        <v>0</v>
      </c>
    </row>
    <row r="150" spans="1:14" ht="24" thickBot="1">
      <c r="A150" s="6"/>
      <c r="B150" s="80" t="s">
        <v>58</v>
      </c>
      <c r="C150" s="93">
        <f>SUM(C145:C149)</f>
        <v>0</v>
      </c>
      <c r="D150" s="93">
        <f t="shared" ref="D150:N150" si="49">SUM(D145:D149)</f>
        <v>0</v>
      </c>
      <c r="E150" s="93">
        <f t="shared" si="49"/>
        <v>0</v>
      </c>
      <c r="F150" s="93">
        <f t="shared" si="49"/>
        <v>0</v>
      </c>
      <c r="G150" s="93">
        <f t="shared" si="49"/>
        <v>0</v>
      </c>
      <c r="H150" s="93">
        <f t="shared" si="49"/>
        <v>0</v>
      </c>
      <c r="I150" s="93">
        <f t="shared" si="49"/>
        <v>0</v>
      </c>
      <c r="J150" s="93">
        <f t="shared" si="49"/>
        <v>0</v>
      </c>
      <c r="K150" s="93">
        <f t="shared" si="49"/>
        <v>0</v>
      </c>
      <c r="L150" s="93">
        <f t="shared" si="49"/>
        <v>0</v>
      </c>
      <c r="M150" s="93">
        <f t="shared" si="49"/>
        <v>0</v>
      </c>
      <c r="N150" s="93">
        <f t="shared" si="49"/>
        <v>0</v>
      </c>
    </row>
    <row r="152" spans="1:14" ht="23.45">
      <c r="A152" s="84" t="s">
        <v>105</v>
      </c>
    </row>
    <row r="153" spans="1:14">
      <c r="A153"/>
      <c r="B153" s="90" t="s">
        <v>106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/>
      <c r="B154" s="90" t="s">
        <v>107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/>
      <c r="B155" s="90" t="s">
        <v>108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/>
      <c r="B156" s="90" t="s">
        <v>109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/>
      <c r="B157" s="90" t="s">
        <v>110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/>
      <c r="B158" s="90" t="s">
        <v>111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/>
      <c r="B159" s="90" t="s">
        <v>112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/>
      <c r="B160" s="90" t="s">
        <v>113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/>
      <c r="B161" s="90" t="s">
        <v>114</v>
      </c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/>
      <c r="B162" s="90" t="s">
        <v>115</v>
      </c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/>
      <c r="B163" s="90" t="s">
        <v>116</v>
      </c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/>
      <c r="B164" s="90" t="s">
        <v>117</v>
      </c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/>
      <c r="B165" s="90" t="s">
        <v>118</v>
      </c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/>
      <c r="B166" s="90" t="s">
        <v>119</v>
      </c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 ht="15" thickBot="1">
      <c r="B167" s="90" t="s">
        <v>120</v>
      </c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 ht="24" thickBot="1">
      <c r="B168" s="101" t="s">
        <v>58</v>
      </c>
      <c r="C168" s="93">
        <f>SUM(C153:C167)</f>
        <v>0</v>
      </c>
      <c r="D168" s="93">
        <f t="shared" ref="D168:N168" si="50">SUM(D153:D167)</f>
        <v>0</v>
      </c>
      <c r="E168" s="93">
        <f t="shared" si="50"/>
        <v>0</v>
      </c>
      <c r="F168" s="93">
        <f t="shared" si="50"/>
        <v>0</v>
      </c>
      <c r="G168" s="93">
        <f t="shared" si="50"/>
        <v>0</v>
      </c>
      <c r="H168" s="93">
        <f t="shared" si="50"/>
        <v>0</v>
      </c>
      <c r="I168" s="93">
        <f t="shared" si="50"/>
        <v>0</v>
      </c>
      <c r="J168" s="93">
        <f t="shared" si="50"/>
        <v>0</v>
      </c>
      <c r="K168" s="93">
        <f t="shared" si="50"/>
        <v>0</v>
      </c>
      <c r="L168" s="93">
        <f t="shared" si="50"/>
        <v>0</v>
      </c>
      <c r="M168" s="93">
        <f t="shared" si="50"/>
        <v>0</v>
      </c>
      <c r="N168" s="93">
        <f t="shared" si="50"/>
        <v>0</v>
      </c>
    </row>
    <row r="169" spans="1:14">
      <c r="A169"/>
      <c r="B16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</row>
    <row r="170" spans="1:14" ht="23.45">
      <c r="A170" s="84" t="s">
        <v>121</v>
      </c>
      <c r="B17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</row>
    <row r="171" spans="1:14">
      <c r="A171" s="42" t="s">
        <v>122</v>
      </c>
      <c r="B171" s="90" t="s">
        <v>123</v>
      </c>
      <c r="C171" s="50">
        <f>SUMIFS(Depreciation!D2:D11,Depreciation!A2:A11,"&lt;&gt;(Owned)*",Depreciation!C2:C11,C7)</f>
        <v>0</v>
      </c>
      <c r="D171" s="50">
        <f>SUMIFS(Depreciation!D2:D11,Depreciation!A2:A11,"&lt;&gt;(Owned)*",Depreciation!C2:C11,D7)</f>
        <v>0</v>
      </c>
      <c r="E171" s="50">
        <f>SUMIFS(Depreciation!D2:D11,Depreciation!A2:A11,"&lt;&gt;(Owned)*",Depreciation!C2:C11,E7)</f>
        <v>0</v>
      </c>
      <c r="F171" s="50">
        <f>SUMIFS(Depreciation!D2:D11,Depreciation!A2:A11,"&lt;&gt;(Owned)*",Depreciation!C2:C11,F7)</f>
        <v>0</v>
      </c>
      <c r="G171" s="50">
        <f>SUMIFS(Depreciation!D2:D11,Depreciation!A2:A11,"&lt;&gt;(Owned)*",Depreciation!C2:C11,G7)</f>
        <v>0</v>
      </c>
      <c r="H171" s="50">
        <f>SUMIFS(Depreciation!D2:D11,Depreciation!A2:A11,"&lt;&gt;(Owned)*",Depreciation!C2:C11,H7)</f>
        <v>0</v>
      </c>
      <c r="I171" s="50">
        <f>SUMIFS(Depreciation!D2:D11,Depreciation!A2:A11,"&lt;&gt;(Owned)*",Depreciation!C2:C11,I7)</f>
        <v>0</v>
      </c>
      <c r="J171" s="50">
        <f>SUMIFS(Depreciation!D2:D11,Depreciation!A2:A11,"&lt;&gt;(Owned)*",Depreciation!C2:C11,J7)</f>
        <v>0</v>
      </c>
      <c r="K171" s="50">
        <f>SUMIFS(Depreciation!D2:D11,Depreciation!A2:A11,"&lt;&gt;(Owned)*",Depreciation!C2:C11,K7)</f>
        <v>0</v>
      </c>
      <c r="L171" s="50">
        <f>SUMIFS(Depreciation!D2:D11,Depreciation!A2:A11,"&lt;&gt;(Owned)*",Depreciation!C2:C11,L7)</f>
        <v>0</v>
      </c>
      <c r="M171" s="50">
        <f>SUMIFS(Depreciation!D2:D11,Depreciation!A2:A11,"&lt;&gt;(Owned)*",Depreciation!C2:C11,M7)</f>
        <v>0</v>
      </c>
      <c r="N171" s="50">
        <f>SUMIFS(Depreciation!D2:D11,Depreciation!A2:A11,"&lt;&gt;(Owned)*",Depreciation!C2:C11,N7)</f>
        <v>0</v>
      </c>
    </row>
    <row r="172" spans="1:14" ht="15" thickBot="1">
      <c r="A172"/>
      <c r="B172" s="90" t="s">
        <v>124</v>
      </c>
      <c r="C172" s="50">
        <f ca="1">SUM(Depreciation!AG2:AG11)</f>
        <v>485.90864917395533</v>
      </c>
      <c r="D172" s="50">
        <f ca="1">SUM(Depreciation!AH2:AH11)</f>
        <v>485.90864917395533</v>
      </c>
      <c r="E172" s="50">
        <f ca="1">SUM(Depreciation!AI2:AI11)</f>
        <v>485.90864917395533</v>
      </c>
      <c r="F172" s="50">
        <f ca="1">SUM(Depreciation!AJ2:AJ11)</f>
        <v>485.90864917395533</v>
      </c>
      <c r="G172" s="50">
        <f ca="1">SUM(Depreciation!AK2:AK11)</f>
        <v>485.90864917395533</v>
      </c>
      <c r="H172" s="50">
        <f ca="1">SUM(Depreciation!AL2:AL11)</f>
        <v>485.90864917395533</v>
      </c>
      <c r="I172" s="50">
        <f ca="1">SUM(Depreciation!AM2:AM11)</f>
        <v>485.90864917395533</v>
      </c>
      <c r="J172" s="50">
        <f ca="1">SUM(Depreciation!AN2:AN11)</f>
        <v>485.90864917395533</v>
      </c>
      <c r="K172" s="50">
        <f ca="1">SUM(Depreciation!AO2:AO11)</f>
        <v>485.90864917395533</v>
      </c>
      <c r="L172" s="50">
        <f ca="1">SUM(Depreciation!AP2:AP11)</f>
        <v>485.90864917395533</v>
      </c>
      <c r="M172" s="50">
        <f ca="1">SUM(Depreciation!AQ2:AQ11)</f>
        <v>485.90864917395533</v>
      </c>
      <c r="N172" s="50">
        <f ca="1">SUM(Depreciation!AR2:AR11)</f>
        <v>485.90864917395533</v>
      </c>
    </row>
    <row r="173" spans="1:14" ht="24" thickBot="1">
      <c r="A173"/>
      <c r="B173" s="101" t="s">
        <v>58</v>
      </c>
      <c r="C173" s="93">
        <f ca="1">SUM(C171:C172)</f>
        <v>485.90864917395533</v>
      </c>
      <c r="D173" s="93">
        <f t="shared" ref="D173:N173" ca="1" si="51">SUM(D171:D172)</f>
        <v>485.90864917395533</v>
      </c>
      <c r="E173" s="93">
        <f t="shared" ca="1" si="51"/>
        <v>485.90864917395533</v>
      </c>
      <c r="F173" s="93">
        <f t="shared" ca="1" si="51"/>
        <v>485.90864917395533</v>
      </c>
      <c r="G173" s="93">
        <f t="shared" ca="1" si="51"/>
        <v>485.90864917395533</v>
      </c>
      <c r="H173" s="93">
        <f t="shared" ca="1" si="51"/>
        <v>485.90864917395533</v>
      </c>
      <c r="I173" s="93">
        <f t="shared" ca="1" si="51"/>
        <v>485.90864917395533</v>
      </c>
      <c r="J173" s="93">
        <f t="shared" ca="1" si="51"/>
        <v>485.90864917395533</v>
      </c>
      <c r="K173" s="93">
        <f t="shared" ca="1" si="51"/>
        <v>485.90864917395533</v>
      </c>
      <c r="L173" s="93">
        <f t="shared" ca="1" si="51"/>
        <v>485.90864917395533</v>
      </c>
      <c r="M173" s="93">
        <f t="shared" ca="1" si="51"/>
        <v>485.90864917395533</v>
      </c>
      <c r="N173" s="93">
        <f t="shared" ca="1" si="51"/>
        <v>485.90864917395533</v>
      </c>
    </row>
    <row r="174" spans="1:14">
      <c r="A174"/>
      <c r="B174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</row>
    <row r="175" spans="1:14" ht="23.45">
      <c r="A175" s="84" t="s">
        <v>125</v>
      </c>
    </row>
    <row r="177" spans="1:14">
      <c r="A177" s="86" t="s">
        <v>126</v>
      </c>
      <c r="B177" s="90" t="s">
        <v>127</v>
      </c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B178" s="90" t="s">
        <v>128</v>
      </c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B179" s="90" t="s">
        <v>129</v>
      </c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B180" s="90" t="s">
        <v>130</v>
      </c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B181" s="90" t="s">
        <v>131</v>
      </c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 ht="15" thickBot="1">
      <c r="B182" s="90" t="s">
        <v>132</v>
      </c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 ht="24" thickBot="1">
      <c r="B183" s="101" t="s">
        <v>58</v>
      </c>
      <c r="C183" s="93">
        <f t="shared" ref="C183:N183" si="52">SUM(C177:C182)</f>
        <v>0</v>
      </c>
      <c r="D183" s="93">
        <f t="shared" si="52"/>
        <v>0</v>
      </c>
      <c r="E183" s="93">
        <f t="shared" si="52"/>
        <v>0</v>
      </c>
      <c r="F183" s="93">
        <f t="shared" si="52"/>
        <v>0</v>
      </c>
      <c r="G183" s="93">
        <f t="shared" si="52"/>
        <v>0</v>
      </c>
      <c r="H183" s="93">
        <f t="shared" si="52"/>
        <v>0</v>
      </c>
      <c r="I183" s="93">
        <f t="shared" si="52"/>
        <v>0</v>
      </c>
      <c r="J183" s="93">
        <f t="shared" si="52"/>
        <v>0</v>
      </c>
      <c r="K183" s="93">
        <f t="shared" si="52"/>
        <v>0</v>
      </c>
      <c r="L183" s="93">
        <f t="shared" si="52"/>
        <v>0</v>
      </c>
      <c r="M183" s="93">
        <f t="shared" si="52"/>
        <v>0</v>
      </c>
      <c r="N183" s="93">
        <f t="shared" si="52"/>
        <v>0</v>
      </c>
    </row>
    <row r="184" spans="1:14">
      <c r="B184" s="6"/>
    </row>
    <row r="185" spans="1:14">
      <c r="A185" s="86" t="s">
        <v>133</v>
      </c>
      <c r="B185" s="90" t="s">
        <v>134</v>
      </c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B186" s="90" t="s">
        <v>135</v>
      </c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B187" s="90" t="s">
        <v>136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B188" s="90" t="s">
        <v>137</v>
      </c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 ht="15" thickBot="1">
      <c r="B189" s="90" t="s">
        <v>132</v>
      </c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 ht="24" thickBot="1">
      <c r="B190" s="101" t="s">
        <v>58</v>
      </c>
      <c r="C190" s="93">
        <f>SUM(C185:C189)</f>
        <v>0</v>
      </c>
      <c r="D190" s="93">
        <f t="shared" ref="D190:N190" si="53">SUM(D185:D189)</f>
        <v>0</v>
      </c>
      <c r="E190" s="93">
        <f t="shared" si="53"/>
        <v>0</v>
      </c>
      <c r="F190" s="93">
        <f t="shared" si="53"/>
        <v>0</v>
      </c>
      <c r="G190" s="93">
        <f t="shared" si="53"/>
        <v>0</v>
      </c>
      <c r="H190" s="93">
        <f t="shared" si="53"/>
        <v>0</v>
      </c>
      <c r="I190" s="93">
        <f t="shared" si="53"/>
        <v>0</v>
      </c>
      <c r="J190" s="93">
        <f t="shared" si="53"/>
        <v>0</v>
      </c>
      <c r="K190" s="93">
        <f t="shared" si="53"/>
        <v>0</v>
      </c>
      <c r="L190" s="93">
        <f t="shared" si="53"/>
        <v>0</v>
      </c>
      <c r="M190" s="93">
        <f t="shared" si="53"/>
        <v>0</v>
      </c>
      <c r="N190" s="93">
        <f t="shared" si="53"/>
        <v>0</v>
      </c>
    </row>
    <row r="192" spans="1:14">
      <c r="A192" s="86" t="s">
        <v>138</v>
      </c>
      <c r="B192" s="90" t="s">
        <v>139</v>
      </c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B193" s="90" t="s">
        <v>140</v>
      </c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B194" s="90" t="s">
        <v>141</v>
      </c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B195" s="90" t="s">
        <v>142</v>
      </c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B196" s="90" t="s">
        <v>143</v>
      </c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B197" s="90" t="s">
        <v>144</v>
      </c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 ht="15" thickBot="1">
      <c r="B198" s="90" t="s">
        <v>145</v>
      </c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 ht="24" thickBot="1">
      <c r="B199" s="101" t="s">
        <v>58</v>
      </c>
      <c r="C199" s="93">
        <f>SUM(C192:C198)</f>
        <v>0</v>
      </c>
      <c r="D199" s="93">
        <f t="shared" ref="D199:N199" si="54">SUM(D192:D198)</f>
        <v>0</v>
      </c>
      <c r="E199" s="93">
        <f t="shared" si="54"/>
        <v>0</v>
      </c>
      <c r="F199" s="93">
        <f t="shared" si="54"/>
        <v>0</v>
      </c>
      <c r="G199" s="93">
        <f t="shared" si="54"/>
        <v>0</v>
      </c>
      <c r="H199" s="93">
        <f t="shared" si="54"/>
        <v>0</v>
      </c>
      <c r="I199" s="93">
        <f t="shared" si="54"/>
        <v>0</v>
      </c>
      <c r="J199" s="93">
        <f t="shared" si="54"/>
        <v>0</v>
      </c>
      <c r="K199" s="93">
        <f t="shared" si="54"/>
        <v>0</v>
      </c>
      <c r="L199" s="93">
        <f t="shared" si="54"/>
        <v>0</v>
      </c>
      <c r="M199" s="93">
        <f t="shared" si="54"/>
        <v>0</v>
      </c>
      <c r="N199" s="93">
        <f t="shared" si="54"/>
        <v>0</v>
      </c>
    </row>
    <row r="200" spans="1:14">
      <c r="B200" s="6"/>
    </row>
    <row r="201" spans="1:14">
      <c r="A201" s="86" t="s">
        <v>146</v>
      </c>
      <c r="B201" s="90" t="s">
        <v>147</v>
      </c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 ht="15" thickBot="1">
      <c r="B202" s="90" t="s">
        <v>148</v>
      </c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 ht="24" thickBot="1">
      <c r="B203" s="101" t="s">
        <v>58</v>
      </c>
      <c r="C203" s="93">
        <f>SUM(C201:C202)</f>
        <v>0</v>
      </c>
      <c r="D203" s="93">
        <f t="shared" ref="D203:N203" si="55">SUM(D201:D202)</f>
        <v>0</v>
      </c>
      <c r="E203" s="93">
        <f t="shared" si="55"/>
        <v>0</v>
      </c>
      <c r="F203" s="93">
        <f t="shared" si="55"/>
        <v>0</v>
      </c>
      <c r="G203" s="93">
        <f t="shared" si="55"/>
        <v>0</v>
      </c>
      <c r="H203" s="93">
        <f t="shared" si="55"/>
        <v>0</v>
      </c>
      <c r="I203" s="93">
        <f t="shared" si="55"/>
        <v>0</v>
      </c>
      <c r="J203" s="93">
        <f t="shared" si="55"/>
        <v>0</v>
      </c>
      <c r="K203" s="93">
        <f t="shared" si="55"/>
        <v>0</v>
      </c>
      <c r="L203" s="93">
        <f t="shared" si="55"/>
        <v>0</v>
      </c>
      <c r="M203" s="93">
        <f t="shared" si="55"/>
        <v>0</v>
      </c>
      <c r="N203" s="93">
        <f t="shared" si="55"/>
        <v>0</v>
      </c>
    </row>
    <row r="205" spans="1:14">
      <c r="A205" s="86" t="s">
        <v>149</v>
      </c>
      <c r="B205" s="90" t="s">
        <v>150</v>
      </c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B206" s="90" t="s">
        <v>151</v>
      </c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B207" s="90" t="s">
        <v>152</v>
      </c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B208" s="90" t="s">
        <v>153</v>
      </c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B209" s="90" t="s">
        <v>154</v>
      </c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 ht="15" thickBot="1">
      <c r="B210" s="90" t="s">
        <v>132</v>
      </c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 ht="24" thickBot="1">
      <c r="B211" s="101" t="s">
        <v>58</v>
      </c>
      <c r="C211" s="93">
        <f>SUM(C205:C210)</f>
        <v>0</v>
      </c>
      <c r="D211" s="93">
        <f t="shared" ref="D211:N211" si="56">SUM(D205:D210)</f>
        <v>0</v>
      </c>
      <c r="E211" s="93">
        <f t="shared" si="56"/>
        <v>0</v>
      </c>
      <c r="F211" s="93">
        <f t="shared" si="56"/>
        <v>0</v>
      </c>
      <c r="G211" s="93">
        <f t="shared" si="56"/>
        <v>0</v>
      </c>
      <c r="H211" s="93">
        <f t="shared" si="56"/>
        <v>0</v>
      </c>
      <c r="I211" s="93">
        <f t="shared" si="56"/>
        <v>0</v>
      </c>
      <c r="J211" s="93">
        <f t="shared" si="56"/>
        <v>0</v>
      </c>
      <c r="K211" s="93">
        <f t="shared" si="56"/>
        <v>0</v>
      </c>
      <c r="L211" s="93">
        <f t="shared" si="56"/>
        <v>0</v>
      </c>
      <c r="M211" s="93">
        <f t="shared" si="56"/>
        <v>0</v>
      </c>
      <c r="N211" s="93">
        <f t="shared" si="56"/>
        <v>0</v>
      </c>
    </row>
    <row r="212" spans="1:14">
      <c r="B212" s="6"/>
    </row>
    <row r="213" spans="1:14">
      <c r="A213" s="77" t="s">
        <v>155</v>
      </c>
      <c r="B213" s="90" t="s">
        <v>156</v>
      </c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B214" s="90" t="s">
        <v>157</v>
      </c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90" t="str">
        <f>A145</f>
        <v>Kilter Tilter - Consumer Version</v>
      </c>
      <c r="B215" s="90" t="s">
        <v>158</v>
      </c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90"/>
      <c r="B216" s="90" t="s">
        <v>159</v>
      </c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90"/>
      <c r="B217" s="90" t="s">
        <v>160</v>
      </c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B218" s="90" t="s">
        <v>161</v>
      </c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90" t="str">
        <f>A146</f>
        <v>Kilter Tilter -Therapy Version</v>
      </c>
      <c r="B219" s="90" t="s">
        <v>158</v>
      </c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90"/>
      <c r="B220" s="90" t="s">
        <v>159</v>
      </c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90"/>
      <c r="B221" s="90" t="s">
        <v>160</v>
      </c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6"/>
      <c r="B222" s="90" t="s">
        <v>161</v>
      </c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90" t="str">
        <f>A147</f>
        <v>Kilter Roller</v>
      </c>
      <c r="B223" s="90" t="s">
        <v>158</v>
      </c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90"/>
      <c r="B224" s="90" t="s">
        <v>159</v>
      </c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90"/>
      <c r="B225" s="90" t="s">
        <v>160</v>
      </c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6"/>
      <c r="B226" s="90" t="s">
        <v>161</v>
      </c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90" t="str">
        <f>A148</f>
        <v xml:space="preserve">    ---    </v>
      </c>
      <c r="B227" s="90" t="s">
        <v>158</v>
      </c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90"/>
      <c r="B228" s="90" t="s">
        <v>159</v>
      </c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90"/>
      <c r="B229" s="90" t="s">
        <v>160</v>
      </c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6"/>
      <c r="B230" s="90" t="s">
        <v>161</v>
      </c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90" t="str">
        <f>A149</f>
        <v xml:space="preserve">    ---    </v>
      </c>
      <c r="B231" s="90" t="s">
        <v>158</v>
      </c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90"/>
      <c r="B232" s="90" t="s">
        <v>159</v>
      </c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90"/>
      <c r="B233" s="90" t="s">
        <v>160</v>
      </c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 ht="15" thickBot="1">
      <c r="B234" s="90" t="s">
        <v>161</v>
      </c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 ht="24" thickBot="1">
      <c r="B235" s="101" t="s">
        <v>58</v>
      </c>
      <c r="C235" s="93">
        <f>SUM(C213:C234)</f>
        <v>0</v>
      </c>
      <c r="D235" s="93">
        <f t="shared" ref="D235:N235" si="57">SUM(D213:D234)</f>
        <v>0</v>
      </c>
      <c r="E235" s="93">
        <f t="shared" si="57"/>
        <v>0</v>
      </c>
      <c r="F235" s="93">
        <f t="shared" si="57"/>
        <v>0</v>
      </c>
      <c r="G235" s="93">
        <f t="shared" si="57"/>
        <v>0</v>
      </c>
      <c r="H235" s="93">
        <f t="shared" si="57"/>
        <v>0</v>
      </c>
      <c r="I235" s="93">
        <f t="shared" si="57"/>
        <v>0</v>
      </c>
      <c r="J235" s="93">
        <f t="shared" si="57"/>
        <v>0</v>
      </c>
      <c r="K235" s="93">
        <f t="shared" si="57"/>
        <v>0</v>
      </c>
      <c r="L235" s="93">
        <f t="shared" si="57"/>
        <v>0</v>
      </c>
      <c r="M235" s="93">
        <f t="shared" si="57"/>
        <v>0</v>
      </c>
      <c r="N235" s="93">
        <f t="shared" si="57"/>
        <v>0</v>
      </c>
    </row>
    <row r="237" spans="1:14">
      <c r="A237" s="86" t="s">
        <v>162</v>
      </c>
      <c r="B237" s="160" t="s">
        <v>163</v>
      </c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B238" s="160" t="s">
        <v>164</v>
      </c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B239" s="160" t="s">
        <v>165</v>
      </c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B240" s="160" t="s">
        <v>166</v>
      </c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 ht="15" thickBot="1">
      <c r="B241" s="160" t="s">
        <v>167</v>
      </c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 ht="24" thickBot="1">
      <c r="B242" s="101" t="s">
        <v>58</v>
      </c>
      <c r="C242" s="93">
        <f>SUM(C237:C241)</f>
        <v>0</v>
      </c>
      <c r="D242" s="93">
        <f t="shared" ref="D242:N242" si="58">SUM(D237:D241)</f>
        <v>0</v>
      </c>
      <c r="E242" s="93">
        <f t="shared" si="58"/>
        <v>0</v>
      </c>
      <c r="F242" s="93">
        <f t="shared" si="58"/>
        <v>0</v>
      </c>
      <c r="G242" s="93">
        <f t="shared" si="58"/>
        <v>0</v>
      </c>
      <c r="H242" s="93">
        <f t="shared" si="58"/>
        <v>0</v>
      </c>
      <c r="I242" s="93">
        <f t="shared" si="58"/>
        <v>0</v>
      </c>
      <c r="J242" s="93">
        <f t="shared" si="58"/>
        <v>0</v>
      </c>
      <c r="K242" s="93">
        <f t="shared" si="58"/>
        <v>0</v>
      </c>
      <c r="L242" s="93">
        <f t="shared" si="58"/>
        <v>0</v>
      </c>
      <c r="M242" s="93">
        <f t="shared" si="58"/>
        <v>0</v>
      </c>
      <c r="N242" s="93">
        <f t="shared" si="58"/>
        <v>0</v>
      </c>
    </row>
    <row r="244" spans="1:14" ht="23.45">
      <c r="A244" s="111" t="s">
        <v>168</v>
      </c>
      <c r="B244" s="6"/>
    </row>
    <row r="246" spans="1:14" ht="18">
      <c r="A246" s="112" t="s">
        <v>74</v>
      </c>
    </row>
    <row r="247" spans="1:14">
      <c r="A247" s="109" t="s">
        <v>169</v>
      </c>
      <c r="B247" s="109" t="s">
        <v>170</v>
      </c>
      <c r="C247" s="109" t="s">
        <v>171</v>
      </c>
      <c r="D247" s="109" t="s">
        <v>171</v>
      </c>
      <c r="E247" s="109" t="s">
        <v>171</v>
      </c>
      <c r="F247" s="109" t="s">
        <v>171</v>
      </c>
      <c r="G247" s="109" t="s">
        <v>171</v>
      </c>
      <c r="H247" s="109" t="s">
        <v>171</v>
      </c>
      <c r="I247" s="109" t="s">
        <v>171</v>
      </c>
      <c r="J247" s="109" t="s">
        <v>171</v>
      </c>
      <c r="K247" s="109" t="s">
        <v>171</v>
      </c>
      <c r="L247" s="109" t="s">
        <v>171</v>
      </c>
      <c r="M247" s="109" t="s">
        <v>171</v>
      </c>
      <c r="N247" s="109" t="s">
        <v>171</v>
      </c>
    </row>
    <row r="248" spans="1:14">
      <c r="A248" s="61" t="str">
        <f>IF('Year 2'!A249&gt;0,'Year 2'!A249,"")</f>
        <v>Therapist</v>
      </c>
      <c r="B248" s="4" t="str">
        <f>IF('Year 2'!B249&gt;0,'Year 2'!B249,"")</f>
        <v/>
      </c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1:14">
      <c r="A249" s="61" t="str">
        <f>IF('Year 2'!A250&gt;0,'Year 2'!A250,"")</f>
        <v/>
      </c>
      <c r="B249" s="4" t="str">
        <f>IF('Year 2'!B250&gt;0,'Year 2'!B250,"")</f>
        <v/>
      </c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1:14">
      <c r="A250" s="61" t="str">
        <f>IF('Year 2'!A251&gt;0,'Year 2'!A251,"")</f>
        <v/>
      </c>
      <c r="B250" s="4" t="str">
        <f>IF('Year 2'!B251&gt;0,'Year 2'!B251,"")</f>
        <v/>
      </c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1:14">
      <c r="A251" s="61" t="str">
        <f>IF('Year 2'!A252&gt;0,'Year 2'!A252,"")</f>
        <v/>
      </c>
      <c r="B251" s="4" t="str">
        <f>IF('Year 2'!B252&gt;0,'Year 2'!B252,"")</f>
        <v/>
      </c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1:14">
      <c r="A252" s="61" t="str">
        <f>IF('Year 2'!A253&gt;0,'Year 2'!A253,"")</f>
        <v/>
      </c>
      <c r="B252" s="4" t="str">
        <f>IF('Year 2'!B253&gt;0,'Year 2'!B253,"")</f>
        <v/>
      </c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1:14">
      <c r="A253" s="61" t="str">
        <f>IF('Year 2'!A254&gt;0,'Year 2'!A254,"")</f>
        <v/>
      </c>
      <c r="B253" s="4" t="str">
        <f>IF('Year 2'!B254&gt;0,'Year 2'!B254,"")</f>
        <v/>
      </c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1:14">
      <c r="A254" s="61" t="str">
        <f>IF('Year 2'!A255&gt;0,'Year 2'!A255,"")</f>
        <v/>
      </c>
      <c r="B254" s="4" t="str">
        <f>IF('Year 2'!B255&gt;0,'Year 2'!B255,"")</f>
        <v/>
      </c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1:14">
      <c r="A255" s="61" t="str">
        <f>IF('Year 2'!A256&gt;0,'Year 2'!A256,"")</f>
        <v/>
      </c>
      <c r="B255" s="4" t="str">
        <f>IF('Year 2'!B256&gt;0,'Year 2'!B256,"")</f>
        <v/>
      </c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1:14">
      <c r="A256" s="61" t="str">
        <f>IF('Year 2'!A257&gt;0,'Year 2'!A257,"")</f>
        <v/>
      </c>
      <c r="B256" s="4" t="str">
        <f>IF('Year 2'!B257&gt;0,'Year 2'!B257,"")</f>
        <v/>
      </c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1:14" ht="15" thickBot="1">
      <c r="A257" s="61" t="str">
        <f>IF('Year 2'!A258&gt;0,'Year 2'!A258,"")</f>
        <v/>
      </c>
      <c r="B257" s="4" t="str">
        <f>IF('Year 2'!B258&gt;0,'Year 2'!B258,"")</f>
        <v/>
      </c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1:14" ht="24" thickBot="1">
      <c r="B258" s="101" t="s">
        <v>58</v>
      </c>
      <c r="C258" s="93">
        <f>SUMPRODUCT(B248:B257,C248:C257)</f>
        <v>0</v>
      </c>
      <c r="D258" s="93">
        <f>SUMPRODUCT(B248:B257,D248:D257)</f>
        <v>0</v>
      </c>
      <c r="E258" s="93">
        <f>SUMPRODUCT(B248:B257,E248:E257)</f>
        <v>0</v>
      </c>
      <c r="F258" s="93">
        <f>SUMPRODUCT(B248:B257,F248:F257)</f>
        <v>0</v>
      </c>
      <c r="G258" s="93">
        <f>SUMPRODUCT(B248:B257,G248:G257)</f>
        <v>0</v>
      </c>
      <c r="H258" s="93">
        <f>SUMPRODUCT(B248:B257,H248:H257)</f>
        <v>0</v>
      </c>
      <c r="I258" s="93">
        <f>SUMPRODUCT(B248:B257,I248:I257)</f>
        <v>0</v>
      </c>
      <c r="J258" s="93">
        <f>SUMPRODUCT(B248:B257,J248:J257)</f>
        <v>0</v>
      </c>
      <c r="K258" s="93">
        <f>SUMPRODUCT(B248:B257,K248:K257)</f>
        <v>0</v>
      </c>
      <c r="L258" s="93">
        <f>SUMPRODUCT(B248:B257,L248:L257)</f>
        <v>0</v>
      </c>
      <c r="M258" s="93">
        <f>SUMPRODUCT(B248:B257,M248:M257)</f>
        <v>0</v>
      </c>
      <c r="N258" s="93">
        <f>SUMPRODUCT(B248:B257,N248:N257)</f>
        <v>0</v>
      </c>
    </row>
    <row r="259" spans="1:14" ht="18">
      <c r="A259" s="112" t="s">
        <v>173</v>
      </c>
    </row>
    <row r="260" spans="1:14">
      <c r="A260" s="109" t="s">
        <v>169</v>
      </c>
      <c r="B260" s="109" t="s">
        <v>174</v>
      </c>
      <c r="C260" s="109" t="s">
        <v>171</v>
      </c>
      <c r="D260" s="109" t="s">
        <v>171</v>
      </c>
      <c r="E260" s="109" t="s">
        <v>171</v>
      </c>
      <c r="F260" s="109" t="s">
        <v>171</v>
      </c>
      <c r="G260" s="109" t="s">
        <v>171</v>
      </c>
      <c r="H260" s="109" t="s">
        <v>171</v>
      </c>
      <c r="I260" s="109" t="s">
        <v>171</v>
      </c>
      <c r="J260" s="109" t="s">
        <v>171</v>
      </c>
      <c r="K260" s="109" t="s">
        <v>171</v>
      </c>
      <c r="L260" s="109" t="s">
        <v>171</v>
      </c>
      <c r="M260" s="109" t="s">
        <v>171</v>
      </c>
      <c r="N260" s="109" t="s">
        <v>171</v>
      </c>
    </row>
    <row r="261" spans="1:14">
      <c r="A261" s="61" t="str">
        <f>IF('Year 2'!A262&gt;0,'Year 2'!A262,"")</f>
        <v/>
      </c>
      <c r="B261" s="4" t="str">
        <f>IF('Year 2'!B262&gt;0,'Year 2'!B262,"")</f>
        <v/>
      </c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1:14">
      <c r="A262" s="61" t="str">
        <f>IF('Year 2'!A263&gt;0,'Year 2'!A263,"")</f>
        <v/>
      </c>
      <c r="B262" s="4" t="str">
        <f>IF('Year 2'!B263&gt;0,'Year 2'!B263,"")</f>
        <v/>
      </c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1:14">
      <c r="A263" s="61" t="str">
        <f>IF('Year 2'!A264&gt;0,'Year 2'!A264,"")</f>
        <v/>
      </c>
      <c r="B263" s="4" t="str">
        <f>IF('Year 2'!B264&gt;0,'Year 2'!B264,"")</f>
        <v/>
      </c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1:14">
      <c r="A264" s="61" t="str">
        <f>IF('Year 2'!A265&gt;0,'Year 2'!A265,"")</f>
        <v/>
      </c>
      <c r="B264" s="4" t="str">
        <f>IF('Year 2'!B265&gt;0,'Year 2'!B265,"")</f>
        <v/>
      </c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1:14">
      <c r="A265" s="61" t="str">
        <f>IF('Year 2'!A266&gt;0,'Year 2'!A266,"")</f>
        <v/>
      </c>
      <c r="B265" s="4" t="str">
        <f>IF('Year 2'!B266&gt;0,'Year 2'!B266,"")</f>
        <v/>
      </c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1:14">
      <c r="A266" s="61" t="str">
        <f>IF('Year 2'!A267&gt;0,'Year 2'!A267,"")</f>
        <v/>
      </c>
      <c r="B266" s="4" t="str">
        <f>IF('Year 2'!B267&gt;0,'Year 2'!B267,"")</f>
        <v/>
      </c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1:14">
      <c r="A267" s="61" t="str">
        <f>IF('Year 2'!A268&gt;0,'Year 2'!A268,"")</f>
        <v/>
      </c>
      <c r="B267" s="4" t="str">
        <f>IF('Year 2'!B268&gt;0,'Year 2'!B268,"")</f>
        <v/>
      </c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1:14">
      <c r="A268" s="61" t="str">
        <f>IF('Year 2'!A269&gt;0,'Year 2'!A269,"")</f>
        <v/>
      </c>
      <c r="B268" s="4" t="str">
        <f>IF('Year 2'!B269&gt;0,'Year 2'!B269,"")</f>
        <v/>
      </c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1:14">
      <c r="A269" s="61" t="str">
        <f>IF('Year 2'!A270&gt;0,'Year 2'!A270,"")</f>
        <v/>
      </c>
      <c r="B269" s="4" t="str">
        <f>IF('Year 2'!B270&gt;0,'Year 2'!B270,"")</f>
        <v/>
      </c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1:14" ht="15" thickBot="1">
      <c r="A270" s="61" t="str">
        <f>IF('Year 2'!A271&gt;0,'Year 2'!A271,"")</f>
        <v/>
      </c>
      <c r="B270" s="4" t="str">
        <f>IF('Year 2'!B271&gt;0,'Year 2'!B271,"")</f>
        <v/>
      </c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1:14" ht="24" thickBot="1">
      <c r="B271" s="101" t="s">
        <v>58</v>
      </c>
      <c r="C271" s="93">
        <f>SUMPRODUCT(B261:B270,C261:C270)</f>
        <v>0</v>
      </c>
      <c r="D271" s="93">
        <f>SUMPRODUCT(B261:B270,D261:D270)</f>
        <v>0</v>
      </c>
      <c r="E271" s="93">
        <f>SUMPRODUCT(B261:B270,E261:E270)</f>
        <v>0</v>
      </c>
      <c r="F271" s="93">
        <f>SUMPRODUCT(B261:B270,F261:F270)</f>
        <v>0</v>
      </c>
      <c r="G271" s="93">
        <f>SUMPRODUCT(B261:B270,G261:G270)</f>
        <v>0</v>
      </c>
      <c r="H271" s="93">
        <f>SUMPRODUCT(B261:B270,H261:H270)</f>
        <v>0</v>
      </c>
      <c r="I271" s="93">
        <f>SUMPRODUCT(B261:B270,I261:I270)</f>
        <v>0</v>
      </c>
      <c r="J271" s="93">
        <f>SUMPRODUCT(B261:B270,J261:J270)</f>
        <v>0</v>
      </c>
      <c r="K271" s="93">
        <f>SUMPRODUCT(B261:B270,K261:K270)</f>
        <v>0</v>
      </c>
      <c r="L271" s="93">
        <f>SUMPRODUCT(B261:B270,L261:L270)</f>
        <v>0</v>
      </c>
      <c r="M271" s="93">
        <f>SUMPRODUCT(B261:B270,M261:M270)</f>
        <v>0</v>
      </c>
      <c r="N271" s="93">
        <f>SUMPRODUCT(B261:B270,N261:N270)</f>
        <v>0</v>
      </c>
    </row>
    <row r="272" spans="1:14" ht="18">
      <c r="A272" s="112" t="s">
        <v>175</v>
      </c>
    </row>
    <row r="273" spans="1:14">
      <c r="A273" s="109" t="s">
        <v>169</v>
      </c>
      <c r="B273" s="109" t="s">
        <v>174</v>
      </c>
      <c r="C273" s="109" t="s">
        <v>171</v>
      </c>
      <c r="D273" s="109" t="s">
        <v>171</v>
      </c>
      <c r="E273" s="109" t="s">
        <v>171</v>
      </c>
      <c r="F273" s="109" t="s">
        <v>171</v>
      </c>
      <c r="G273" s="109" t="s">
        <v>171</v>
      </c>
      <c r="H273" s="109" t="s">
        <v>171</v>
      </c>
      <c r="I273" s="109" t="s">
        <v>171</v>
      </c>
      <c r="J273" s="109" t="s">
        <v>171</v>
      </c>
      <c r="K273" s="109" t="s">
        <v>171</v>
      </c>
      <c r="L273" s="109" t="s">
        <v>171</v>
      </c>
      <c r="M273" s="109" t="s">
        <v>171</v>
      </c>
      <c r="N273" s="109" t="s">
        <v>171</v>
      </c>
    </row>
    <row r="274" spans="1:14">
      <c r="A274" s="61" t="str">
        <f>IF('Year 2'!A275&gt;0,'Year 2'!A275,"")</f>
        <v>Office Admin</v>
      </c>
      <c r="B274" s="4">
        <f>IF('Year 2'!B275&gt;0,'Year 2'!B275,"")</f>
        <v>1000</v>
      </c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1:14">
      <c r="A275" s="61" t="str">
        <f>IF('Year 2'!A276&gt;0,'Year 2'!A276,"")</f>
        <v/>
      </c>
      <c r="B275" s="4" t="str">
        <f>IF('Year 2'!B276&gt;0,'Year 2'!B276,"")</f>
        <v/>
      </c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1:14">
      <c r="A276" s="61" t="str">
        <f>IF('Year 2'!A277&gt;0,'Year 2'!A277,"")</f>
        <v/>
      </c>
      <c r="B276" s="4" t="str">
        <f>IF('Year 2'!B277&gt;0,'Year 2'!B277,"")</f>
        <v/>
      </c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1:14">
      <c r="A277" s="61" t="str">
        <f>IF('Year 2'!A278&gt;0,'Year 2'!A278,"")</f>
        <v/>
      </c>
      <c r="B277" s="4" t="str">
        <f>IF('Year 2'!B278&gt;0,'Year 2'!B278,"")</f>
        <v/>
      </c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1:14">
      <c r="A278" s="61" t="str">
        <f>IF('Year 2'!A279&gt;0,'Year 2'!A279,"")</f>
        <v/>
      </c>
      <c r="B278" s="4" t="str">
        <f>IF('Year 2'!B279&gt;0,'Year 2'!B279,"")</f>
        <v/>
      </c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1:14">
      <c r="A279" s="61" t="str">
        <f>IF('Year 2'!A280&gt;0,'Year 2'!A280,"")</f>
        <v/>
      </c>
      <c r="B279" s="4" t="str">
        <f>IF('Year 2'!B280&gt;0,'Year 2'!B280,"")</f>
        <v/>
      </c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1:14">
      <c r="A280" s="61" t="str">
        <f>IF('Year 2'!A281&gt;0,'Year 2'!A281,"")</f>
        <v/>
      </c>
      <c r="B280" s="4" t="str">
        <f>IF('Year 2'!B281&gt;0,'Year 2'!B281,"")</f>
        <v/>
      </c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1:14">
      <c r="A281" s="61" t="str">
        <f>IF('Year 2'!A282&gt;0,'Year 2'!A282,"")</f>
        <v/>
      </c>
      <c r="B281" s="4" t="str">
        <f>IF('Year 2'!B282&gt;0,'Year 2'!B282,"")</f>
        <v/>
      </c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1:14">
      <c r="A282" s="61" t="str">
        <f>IF('Year 2'!A283&gt;0,'Year 2'!A283,"")</f>
        <v/>
      </c>
      <c r="B282" s="4" t="str">
        <f>IF('Year 2'!B283&gt;0,'Year 2'!B283,"")</f>
        <v/>
      </c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1:14" ht="15" thickBot="1">
      <c r="A283" s="61" t="str">
        <f>IF('Year 2'!A284&gt;0,'Year 2'!A284,"")</f>
        <v/>
      </c>
      <c r="B283" s="4" t="str">
        <f>IF('Year 2'!B284&gt;0,'Year 2'!B284,"")</f>
        <v/>
      </c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1:14" ht="24" thickBot="1">
      <c r="B284" s="101" t="s">
        <v>58</v>
      </c>
      <c r="C284" s="93">
        <f>SUMPRODUCT(B274:B283,C274:C283)</f>
        <v>0</v>
      </c>
      <c r="D284" s="93">
        <f>SUMPRODUCT(B274:B283,D274:D283)</f>
        <v>0</v>
      </c>
      <c r="E284" s="93">
        <f>SUMPRODUCT(B274:B283,E274:E283)</f>
        <v>0</v>
      </c>
      <c r="F284" s="93">
        <f>SUMPRODUCT(B274:B283,F274:F283)</f>
        <v>0</v>
      </c>
      <c r="G284" s="93">
        <f>SUMPRODUCT(B274:B283,G274:G283)</f>
        <v>0</v>
      </c>
      <c r="H284" s="93">
        <f>SUMPRODUCT(B274:B283,H274:H283)</f>
        <v>0</v>
      </c>
      <c r="I284" s="93">
        <f>SUMPRODUCT(B274:B283,I274:I283)</f>
        <v>0</v>
      </c>
      <c r="J284" s="93">
        <f>SUMPRODUCT(B274:B283,J274:J283)</f>
        <v>0</v>
      </c>
      <c r="K284" s="93">
        <f>SUMPRODUCT(B274:B283,K274:K283)</f>
        <v>0</v>
      </c>
      <c r="L284" s="93">
        <f>SUMPRODUCT(B274:B283,L274:L283)</f>
        <v>0</v>
      </c>
      <c r="M284" s="93">
        <f>SUMPRODUCT(B274:B283,M274:M283)</f>
        <v>0</v>
      </c>
      <c r="N284" s="93">
        <f>SUMPRODUCT(B274:B283,N274:N283)</f>
        <v>0</v>
      </c>
    </row>
    <row r="285" spans="1:14">
      <c r="A285" s="109" t="s">
        <v>177</v>
      </c>
    </row>
    <row r="286" spans="1:14">
      <c r="A286" s="142" t="str">
        <f>IF('Year 2'!A287&gt;0,'Year 2'!A287,"")</f>
        <v>Founder(s) NOT Taxed (in gray below)</v>
      </c>
      <c r="B286" s="105" t="s">
        <v>179</v>
      </c>
      <c r="C286" s="113">
        <f>COUNTIF('Pro Forma'!B8:B12,"&gt;0")</f>
        <v>1</v>
      </c>
      <c r="D286" s="113">
        <f>C286</f>
        <v>1</v>
      </c>
      <c r="E286" s="113">
        <f>D286</f>
        <v>1</v>
      </c>
      <c r="F286" s="113">
        <f t="shared" ref="F286:N286" si="59">E286</f>
        <v>1</v>
      </c>
      <c r="G286" s="113">
        <f t="shared" si="59"/>
        <v>1</v>
      </c>
      <c r="H286" s="113">
        <f t="shared" si="59"/>
        <v>1</v>
      </c>
      <c r="I286" s="113">
        <f t="shared" si="59"/>
        <v>1</v>
      </c>
      <c r="J286" s="113">
        <f t="shared" si="59"/>
        <v>1</v>
      </c>
      <c r="K286" s="113">
        <f t="shared" si="59"/>
        <v>1</v>
      </c>
      <c r="L286" s="113">
        <f t="shared" si="59"/>
        <v>1</v>
      </c>
      <c r="M286" s="113">
        <f t="shared" si="59"/>
        <v>1</v>
      </c>
      <c r="N286" s="113">
        <f t="shared" si="59"/>
        <v>1</v>
      </c>
    </row>
    <row r="287" spans="1:14">
      <c r="B287" s="105" t="s">
        <v>180</v>
      </c>
      <c r="C287" s="114">
        <f t="shared" ref="C287:N287" si="60">SUM(C248:C257)</f>
        <v>0</v>
      </c>
      <c r="D287" s="113">
        <f t="shared" si="60"/>
        <v>0</v>
      </c>
      <c r="E287" s="113">
        <f t="shared" si="60"/>
        <v>0</v>
      </c>
      <c r="F287" s="113">
        <f t="shared" si="60"/>
        <v>0</v>
      </c>
      <c r="G287" s="113">
        <f t="shared" si="60"/>
        <v>0</v>
      </c>
      <c r="H287" s="113">
        <f t="shared" si="60"/>
        <v>0</v>
      </c>
      <c r="I287" s="113">
        <f t="shared" si="60"/>
        <v>0</v>
      </c>
      <c r="J287" s="113">
        <f t="shared" si="60"/>
        <v>0</v>
      </c>
      <c r="K287" s="113">
        <f t="shared" si="60"/>
        <v>0</v>
      </c>
      <c r="L287" s="113">
        <f t="shared" si="60"/>
        <v>0</v>
      </c>
      <c r="M287" s="113">
        <f t="shared" si="60"/>
        <v>0</v>
      </c>
      <c r="N287" s="113">
        <f t="shared" si="60"/>
        <v>0</v>
      </c>
    </row>
    <row r="288" spans="1:14">
      <c r="B288" s="105" t="s">
        <v>181</v>
      </c>
      <c r="C288" s="113">
        <f t="shared" ref="C288:N288" si="61">SUM(C261:C269)</f>
        <v>0</v>
      </c>
      <c r="D288" s="113">
        <f t="shared" si="61"/>
        <v>0</v>
      </c>
      <c r="E288" s="113">
        <f t="shared" si="61"/>
        <v>0</v>
      </c>
      <c r="F288" s="113">
        <f t="shared" si="61"/>
        <v>0</v>
      </c>
      <c r="G288" s="113">
        <f t="shared" si="61"/>
        <v>0</v>
      </c>
      <c r="H288" s="113">
        <f t="shared" si="61"/>
        <v>0</v>
      </c>
      <c r="I288" s="113">
        <f t="shared" si="61"/>
        <v>0</v>
      </c>
      <c r="J288" s="113">
        <f t="shared" si="61"/>
        <v>0</v>
      </c>
      <c r="K288" s="113">
        <f t="shared" si="61"/>
        <v>0</v>
      </c>
      <c r="L288" s="113">
        <f t="shared" si="61"/>
        <v>0</v>
      </c>
      <c r="M288" s="113">
        <f t="shared" si="61"/>
        <v>0</v>
      </c>
      <c r="N288" s="113">
        <f t="shared" si="61"/>
        <v>0</v>
      </c>
    </row>
    <row r="289" spans="1:14">
      <c r="B289" s="105" t="s">
        <v>182</v>
      </c>
      <c r="C289" s="113">
        <f t="shared" ref="C289:N289" si="62">SUM(C274:C282)</f>
        <v>0</v>
      </c>
      <c r="D289" s="113">
        <f t="shared" si="62"/>
        <v>0</v>
      </c>
      <c r="E289" s="113">
        <f t="shared" si="62"/>
        <v>0</v>
      </c>
      <c r="F289" s="113">
        <f t="shared" si="62"/>
        <v>0</v>
      </c>
      <c r="G289" s="113">
        <f t="shared" si="62"/>
        <v>0</v>
      </c>
      <c r="H289" s="113">
        <f t="shared" si="62"/>
        <v>0</v>
      </c>
      <c r="I289" s="113">
        <f t="shared" si="62"/>
        <v>0</v>
      </c>
      <c r="J289" s="113">
        <f t="shared" si="62"/>
        <v>0</v>
      </c>
      <c r="K289" s="113">
        <f t="shared" si="62"/>
        <v>0</v>
      </c>
      <c r="L289" s="113">
        <f t="shared" si="62"/>
        <v>0</v>
      </c>
      <c r="M289" s="113">
        <f t="shared" si="62"/>
        <v>0</v>
      </c>
      <c r="N289" s="113">
        <f t="shared" si="62"/>
        <v>0</v>
      </c>
    </row>
    <row r="290" spans="1:14" ht="23.45">
      <c r="B290" s="101" t="s">
        <v>58</v>
      </c>
      <c r="C290" s="115">
        <f>SUM(C286:C289)</f>
        <v>1</v>
      </c>
      <c r="D290" s="115">
        <f t="shared" ref="D290:N290" si="63">SUM(D286:D289)</f>
        <v>1</v>
      </c>
      <c r="E290" s="115">
        <f t="shared" si="63"/>
        <v>1</v>
      </c>
      <c r="F290" s="115">
        <f t="shared" si="63"/>
        <v>1</v>
      </c>
      <c r="G290" s="115">
        <f t="shared" si="63"/>
        <v>1</v>
      </c>
      <c r="H290" s="115">
        <f t="shared" si="63"/>
        <v>1</v>
      </c>
      <c r="I290" s="115">
        <f t="shared" si="63"/>
        <v>1</v>
      </c>
      <c r="J290" s="115">
        <f t="shared" si="63"/>
        <v>1</v>
      </c>
      <c r="K290" s="115">
        <f t="shared" si="63"/>
        <v>1</v>
      </c>
      <c r="L290" s="115">
        <f t="shared" si="63"/>
        <v>1</v>
      </c>
      <c r="M290" s="115">
        <f t="shared" si="63"/>
        <v>1</v>
      </c>
      <c r="N290" s="115">
        <f t="shared" si="63"/>
        <v>1</v>
      </c>
    </row>
    <row r="291" spans="1:14">
      <c r="A291" s="86" t="s">
        <v>183</v>
      </c>
    </row>
    <row r="292" spans="1:14">
      <c r="A292" s="116" t="s">
        <v>184</v>
      </c>
      <c r="B292" s="10">
        <f>IF('Year 2'!B293&gt;0,'Year 2'!B293,"")</f>
        <v>6.2E-2</v>
      </c>
      <c r="C292" s="50">
        <f xml:space="preserve"> IF(A286 = "Founder(s) NOT Taxed (in gray below)",(C258+C271+C284)*B292,(C141+C258+C271+C284)*B292)</f>
        <v>0</v>
      </c>
      <c r="D292" s="50">
        <f xml:space="preserve"> IF(A286 = "Founder(s) NOT Taxed (in gray below)",(D258+D271+D284)*B292,(D141+D258+D271+D284)*B292)</f>
        <v>0</v>
      </c>
      <c r="E292" s="50">
        <f xml:space="preserve"> IF(A286 = "Founder(s) NOT Taxed (in gray below)",(E258+E271+E284)*B292,(E141+E258+E271+E284)*B292)</f>
        <v>0</v>
      </c>
      <c r="F292" s="50">
        <f xml:space="preserve"> IF(A286 = "Founder(s) NOT Taxed (in gray below)",(F258+F271+F284)*B292,(F141+F258+F271+F284)*B292)</f>
        <v>0</v>
      </c>
      <c r="G292" s="50">
        <f xml:space="preserve"> IF(A286 = "Founder(s) NOT Taxed (in gray below)",(G258+G271+G284)*B292,(G141+G258+G271+G284)*B292)</f>
        <v>0</v>
      </c>
      <c r="H292" s="50">
        <f xml:space="preserve"> IF(A286 = "Founder(s) NOT Taxed (in gray below)",(H258+H271+H284)*B292,(H141+H258+H271+H284)*B292)</f>
        <v>0</v>
      </c>
      <c r="I292" s="50">
        <f xml:space="preserve"> IF(A286 = "Founder(s) NOT Taxed (in gray below)",(I258+I271+I284)*B292,(I141+I258+I271+I284)*B292)</f>
        <v>0</v>
      </c>
      <c r="J292" s="50">
        <f xml:space="preserve"> IF(A286 = "Founder(s) NOT Taxed (in gray below)",(J258+J271+J284)*B292,(J141+J258+J271+J284)*B292)</f>
        <v>0</v>
      </c>
      <c r="K292" s="50">
        <f xml:space="preserve"> IF(A286 = "Founder(s) NOT Taxed (in gray below)",(K258+K271+K284)*B292,(K141+K258+K271+K284)*B292)</f>
        <v>0</v>
      </c>
      <c r="L292" s="50">
        <f xml:space="preserve"> IF(A286 = "Founder(s) NOT Taxed (in gray below)",(L258+L271+L284)*B292,(L141+L258+L271+L284)*B292)</f>
        <v>0</v>
      </c>
      <c r="M292" s="50">
        <f xml:space="preserve"> IF(A286 = "Founder(s) NOT Taxed (in gray below)",(M258+M271+M284)*B292,(M141+M258+M271+M284)*B292)</f>
        <v>0</v>
      </c>
      <c r="N292" s="50">
        <f xml:space="preserve"> IF(A286 = "Founder(s) NOT Taxed (in gray below)",(N258+N271+N284)*B292,(N141+N258+N271+N284)*B292)</f>
        <v>0</v>
      </c>
    </row>
    <row r="293" spans="1:14">
      <c r="A293" s="116" t="s">
        <v>185</v>
      </c>
      <c r="B293" s="4">
        <f>IF('Year 2'!B294&gt;0,'Year 2'!B294,"")</f>
        <v>102000</v>
      </c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</row>
    <row r="294" spans="1:14">
      <c r="A294" s="116" t="s">
        <v>186</v>
      </c>
      <c r="B294" s="73">
        <f>IF('Year 2'!B295&gt;0,'Year 2'!B295,"")</f>
        <v>1.4500000000000001E-2</v>
      </c>
      <c r="C294" s="50">
        <f xml:space="preserve"> IF(A286 = "Founder(s) NOT Taxed (in gray below)",(C258+C271+C284)*B294,(C141+C258+C271+C284)*B294)</f>
        <v>0</v>
      </c>
      <c r="D294" s="50">
        <f xml:space="preserve"> IF(A286= "Founder(s) NOT Taxed (in gray below)",(D258+D271+D284)*B294,(D141+D258+D271+D284)*B294)</f>
        <v>0</v>
      </c>
      <c r="E294" s="50">
        <f xml:space="preserve"> IF(A286= "Founder(s) NOT Taxed (in gray below)",(E258+E271+E284)*B294,(E141+E258+E271+E284)*B294)</f>
        <v>0</v>
      </c>
      <c r="F294" s="50">
        <f xml:space="preserve"> IF(A286= "Founder(s) NOT Taxed (in gray below)",(F258+F271+F284)*B294,(F141+F258+F271+F284)*B294)</f>
        <v>0</v>
      </c>
      <c r="G294" s="50">
        <f xml:space="preserve"> IF(A286= "Founder(s) NOT Taxed (in gray below)",(G258+G271+G284)*B294,(G141+G258+G271+G284)*B294)</f>
        <v>0</v>
      </c>
      <c r="H294" s="50">
        <f xml:space="preserve"> IF(A286= "Founder(s) NOT Taxed (in gray below)",(H258+H271+H284)*B294,(H141+H258+H271+H284)*B294)</f>
        <v>0</v>
      </c>
      <c r="I294" s="50">
        <f xml:space="preserve"> IF(A286= "Founder(s) NOT Taxed (in gray below)",(I258+I271+I284)*B294,(I141+I258+I271+I284)*B294)</f>
        <v>0</v>
      </c>
      <c r="J294" s="50">
        <f xml:space="preserve"> IF(A286= "Founder(s) NOT Taxed (in gray below)",(J258+J271+J284)*B294,(J141+J258+J271+J284)*B294)</f>
        <v>0</v>
      </c>
      <c r="K294" s="50">
        <f xml:space="preserve"> IF(A286= "Founder(s) NOT Taxed (in gray below)",(K258+K271+K284)*B294,(K141+K258+K271+K284)*B294)</f>
        <v>0</v>
      </c>
      <c r="L294" s="50">
        <f xml:space="preserve"> IF(A286= "Founder(s) NOT Taxed (in gray below)",(L258+L271+L284)*B294,(L141+L258+L271+L284)*B294)</f>
        <v>0</v>
      </c>
      <c r="M294" s="50">
        <f xml:space="preserve"> IF(A286= "Founder(s) NOT Taxed (in gray below)",(M258+M271+M284)*B294,(M141+M258+M271+M284)*B294)</f>
        <v>0</v>
      </c>
      <c r="N294" s="50">
        <f xml:space="preserve"> IF(A286= "Founder(s) NOT Taxed (in gray below)",(N258+N271+N284)*B294,(N141+N258+N271+N284)*B294)</f>
        <v>0</v>
      </c>
    </row>
    <row r="295" spans="1:14">
      <c r="A295" s="116" t="s">
        <v>187</v>
      </c>
      <c r="B295" s="73">
        <f>IF('Year 2'!B296&gt;0,'Year 2'!B296,"")</f>
        <v>8.0000000000000002E-3</v>
      </c>
      <c r="C295" s="50">
        <f xml:space="preserve"> IF(A286 = "Founder(s) NOT Taxed (in gray below)",(C290-C286)*B295*B296,(C290)*B295*B296)</f>
        <v>0</v>
      </c>
      <c r="D295" s="50">
        <f xml:space="preserve"> IF(A286 = "Founder(s) NOT Taxed (in gray Below)",(D290-D286)*B295*B296,(D290)*B295*B296)</f>
        <v>0</v>
      </c>
      <c r="E295" s="50">
        <f xml:space="preserve"> IF(A286 = "Founder(s) NOT Taxed (in gray Below)",(E290-E286)*B295*B296,(E290)*B295*B296)</f>
        <v>0</v>
      </c>
      <c r="F295" s="50">
        <f xml:space="preserve"> IF(A286 = "Founder(s) NOT Taxed (in gray Below)",(F290-F286)*B295*B296,(F290)*B295*B296)</f>
        <v>0</v>
      </c>
      <c r="G295" s="50">
        <f xml:space="preserve"> IF(A286 = "Founder(s) NOT Taxed (in gray Below)",(G290-G286)*B295*B296,(G290)*B295*B296)</f>
        <v>0</v>
      </c>
      <c r="H295" s="50">
        <f xml:space="preserve"> IF(A286 = "Founder(s) NOT Taxed (in gray Below)",(H290-H286)*B295*B296,(H290)*B295*B296)</f>
        <v>0</v>
      </c>
      <c r="I295" s="50">
        <f xml:space="preserve"> IF(A286 = "Founder(s) NOT Taxed (in gray Below)",(I290-I286)*B295*B296,(I290)*B295*B296)</f>
        <v>0</v>
      </c>
      <c r="J295" s="50">
        <f xml:space="preserve"> IF(A286 = "Founder(s) NOT Taxed (in gray Below)",(J290-J286)*B295*B296,(J290)*B295*B296)</f>
        <v>0</v>
      </c>
      <c r="K295" s="50">
        <f xml:space="preserve"> IF(A286 = "Founder(s) NOT Taxed (in gray Below)",(K290-K286)*B295*B296,(K290)*B295*B296)</f>
        <v>0</v>
      </c>
      <c r="L295" s="50">
        <f xml:space="preserve"> IF(A286 = "Founder(s) NOT Taxed (in gray Below)",(L290-L286)*B295*B296,(L290)*B295*B296)</f>
        <v>0</v>
      </c>
      <c r="M295" s="50">
        <f xml:space="preserve"> IF(A286 = "Founder(s) NOT Taxed (in gray Below)",(M290-M286)*B295*B296,(M290)*B295*B296)</f>
        <v>0</v>
      </c>
      <c r="N295" s="50">
        <f xml:space="preserve"> IF(A286 = "Founder(s) NOT Taxed (in gray Below)",(N290-N286)*B295*B296,(N290)*B295*B296)</f>
        <v>0</v>
      </c>
    </row>
    <row r="296" spans="1:14">
      <c r="A296" s="116" t="s">
        <v>188</v>
      </c>
      <c r="B296" s="4">
        <f>IF('Year 2'!B297&gt;0,'Year 2'!B297,"")</f>
        <v>7000</v>
      </c>
      <c r="C296" s="91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</row>
    <row r="297" spans="1:14">
      <c r="A297" s="116" t="s">
        <v>189</v>
      </c>
      <c r="B297" s="63">
        <v>8.0000000000000002E-3</v>
      </c>
      <c r="C297" s="50">
        <f xml:space="preserve"> IF(A286 = "Founder(s) NOT Taxed (in gray below)",(C290-C286)*B297*B298,(C290)*B297*B298)</f>
        <v>0</v>
      </c>
      <c r="D297" s="50">
        <f xml:space="preserve"> IF(A286 = "Founder(s) NOT Taxed (in gray Below)",(D290-D286)*B297*B298,(D290)*B297*B298)</f>
        <v>0</v>
      </c>
      <c r="E297" s="50">
        <f xml:space="preserve"> IF(A286 = "Founder(s) NOT Taxed (in gray Below)",(E290-E286)*B297*B298,(E290)*B297*B298)</f>
        <v>0</v>
      </c>
      <c r="F297" s="50">
        <f xml:space="preserve"> IF(A286 = "Founder(s) NOT Taxed (in gray Below)",(F290-F286)*B297*B298,(F290)*B297*B298)</f>
        <v>0</v>
      </c>
      <c r="G297" s="50">
        <f xml:space="preserve"> IF(A286 = "Founder(s) NOT Taxed (in gray Below)",(G290-G286)*B297*B298,(G290)*B297*B298)</f>
        <v>0</v>
      </c>
      <c r="H297" s="50">
        <f xml:space="preserve"> IF(A286 = "Founder(s) NOT Taxed (in gray Below)",(H290-H286)*B297*B298,(H290)*B297*B298)</f>
        <v>0</v>
      </c>
      <c r="I297" s="50">
        <f xml:space="preserve"> IF(A286 = "Founder(s) NOT Taxed (in gray Below)",(I290-I286)*B297*B298,(I290)*B297*B298)</f>
        <v>0</v>
      </c>
      <c r="J297" s="50">
        <f xml:space="preserve"> IF(A286 = "Founder(s) NOT Taxed (in gray Below)",(J290-J286)*B297*B298,(J290)*B297*B298)</f>
        <v>0</v>
      </c>
      <c r="K297" s="50">
        <f xml:space="preserve"> IF(A286 = "Founder(s) NOT Taxed (in gray Below)",(K290-K286)*B297*B298,(K290)*B297*B298)</f>
        <v>0</v>
      </c>
      <c r="L297" s="50">
        <f xml:space="preserve"> IF(A286 = "Founder(s) NOT Taxed (in gray Below)",(L290-L286)*B297*B298,(L290)*B297*B298)</f>
        <v>0</v>
      </c>
      <c r="M297" s="50">
        <f xml:space="preserve"> IF(A286 = "Founder(s) NOT Taxed (in gray Below)",(M290-M286)*B297*B298,(M290)*B297*B298)</f>
        <v>0</v>
      </c>
      <c r="N297" s="50">
        <f xml:space="preserve"> IF(A286 = "Founder(s) NOT Taxed (in gray Below)",(N290-N286)*B297*B298,(N290)*B297*B298)</f>
        <v>0</v>
      </c>
    </row>
    <row r="298" spans="1:14">
      <c r="A298" s="116" t="s">
        <v>190</v>
      </c>
      <c r="B298" s="4">
        <f>IF('Year 2'!B299&gt;0,'Year 2'!B299,"")</f>
        <v>7000</v>
      </c>
      <c r="C298" s="91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</row>
    <row r="299" spans="1:14">
      <c r="A299" s="90" t="s">
        <v>191</v>
      </c>
      <c r="B299" s="4" t="str">
        <f>IF('Year 2'!B300&gt;0,'Year 2'!B300,"")</f>
        <v/>
      </c>
      <c r="C299" s="117"/>
      <c r="D299" s="117"/>
      <c r="E299" s="117"/>
      <c r="F299" s="117"/>
      <c r="G299" s="117"/>
      <c r="H299" s="117"/>
      <c r="I299" s="117"/>
      <c r="J299" s="117"/>
      <c r="K299" s="117"/>
      <c r="L299" s="117"/>
      <c r="M299" s="117"/>
      <c r="N299" s="117"/>
    </row>
    <row r="300" spans="1:14">
      <c r="A300" s="90" t="s">
        <v>192</v>
      </c>
      <c r="B300" s="4" t="str">
        <f>IF('Year 2'!B301&gt;0,'Year 2'!B301,"")</f>
        <v/>
      </c>
      <c r="C300" s="117"/>
      <c r="D300" s="117"/>
      <c r="E300" s="117"/>
      <c r="F300" s="117"/>
      <c r="G300" s="117"/>
      <c r="H300" s="117"/>
      <c r="I300" s="117"/>
      <c r="J300" s="117"/>
      <c r="K300" s="117"/>
      <c r="L300" s="117"/>
      <c r="M300" s="117"/>
      <c r="N300" s="117"/>
    </row>
    <row r="301" spans="1:14">
      <c r="A301" s="90" t="s">
        <v>193</v>
      </c>
      <c r="B301" s="4" t="str">
        <f>IF('Year 2'!B302&gt;0,'Year 2'!B302,"")</f>
        <v/>
      </c>
      <c r="C301" s="117"/>
      <c r="D301" s="117"/>
      <c r="E301" s="117"/>
      <c r="F301" s="117"/>
      <c r="G301" s="117"/>
      <c r="H301" s="117"/>
      <c r="I301" s="117"/>
      <c r="J301" s="117"/>
      <c r="K301" s="117"/>
      <c r="L301" s="117"/>
      <c r="M301" s="117"/>
      <c r="N301" s="117"/>
    </row>
    <row r="302" spans="1:14" ht="15" thickBot="1">
      <c r="A302" s="90" t="s">
        <v>194</v>
      </c>
      <c r="B302" s="4" t="str">
        <f>IF('Year 2'!B303&gt;0,'Year 2'!B303,"`")</f>
        <v/>
      </c>
      <c r="C302" s="117"/>
      <c r="D302" s="117"/>
      <c r="E302" s="117"/>
      <c r="F302" s="117"/>
      <c r="G302" s="117"/>
      <c r="H302" s="117"/>
      <c r="I302" s="117"/>
      <c r="J302" s="117"/>
      <c r="K302" s="117"/>
      <c r="L302" s="117"/>
      <c r="M302" s="117"/>
      <c r="N302" s="117"/>
    </row>
    <row r="303" spans="1:14" ht="24" thickBot="1">
      <c r="B303" s="101" t="s">
        <v>58</v>
      </c>
      <c r="C303" s="93">
        <f>SUM(C292:C302)</f>
        <v>0</v>
      </c>
      <c r="D303" s="93">
        <f t="shared" ref="D303:N303" si="64">SUM(D292:D302)</f>
        <v>0</v>
      </c>
      <c r="E303" s="93">
        <f t="shared" si="64"/>
        <v>0</v>
      </c>
      <c r="F303" s="93">
        <f t="shared" si="64"/>
        <v>0</v>
      </c>
      <c r="G303" s="93">
        <f t="shared" si="64"/>
        <v>0</v>
      </c>
      <c r="H303" s="93">
        <f t="shared" si="64"/>
        <v>0</v>
      </c>
      <c r="I303" s="93">
        <f t="shared" si="64"/>
        <v>0</v>
      </c>
      <c r="J303" s="93">
        <f t="shared" si="64"/>
        <v>0</v>
      </c>
      <c r="K303" s="93">
        <f t="shared" si="64"/>
        <v>0</v>
      </c>
      <c r="L303" s="93">
        <f t="shared" si="64"/>
        <v>0</v>
      </c>
      <c r="M303" s="93">
        <f t="shared" si="64"/>
        <v>0</v>
      </c>
      <c r="N303" s="93">
        <f t="shared" si="64"/>
        <v>0</v>
      </c>
    </row>
  </sheetData>
  <sheetProtection formatCells="0" formatColumns="0" insertRows="0"/>
  <dataValidations count="3">
    <dataValidation type="whole" allowBlank="1" showInputMessage="1" showErrorMessage="1" promptTitle="Must be between 0-11" prompt="You can add equal monthly installment paymnets.  Use 0 or leave blank if there are no installments.  If you make the number 11 then all the payments will be over a one year period." sqref="B11 B32 B53 B74 B95" xr:uid="{00000000-0002-0000-0500-000000000000}">
      <formula1>0</formula1>
      <formula2>11</formula2>
    </dataValidation>
    <dataValidation type="whole" allowBlank="1" showInputMessage="1" showErrorMessage="1" promptTitle="Must be between 0-11" prompt="If payment if recieved the month the customer is booked, then put 0 or leave blank. If there is a delay between the deposit and delivery you can make the delay up to 11 months, which will mean the deposit and delivery will occur within one year.   " sqref="B94 B73 B52 B31 B10" xr:uid="{00000000-0002-0000-0500-000001000000}">
      <formula1>0</formula1>
      <formula2>11</formula2>
    </dataValidation>
    <dataValidation type="list" allowBlank="1" showInputMessage="1" showErrorMessage="1" sqref="A286" xr:uid="{00000000-0002-0000-0500-000002000000}">
      <formula1>"Founder(s) Are Taxed as Employees, Founder(s) NOT Taxed (in gray below)"</formula1>
    </dataValidation>
  </dataValidations>
  <pageMargins left="0.7" right="0.7" top="0.75" bottom="0.75" header="0.3" footer="0.3"/>
  <pageSetup orientation="portrait" r:id="rId1"/>
  <ignoredErrors>
    <ignoredError sqref="A286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37"/>
  <sheetViews>
    <sheetView topLeftCell="C54" zoomScale="140" zoomScaleNormal="140" workbookViewId="0">
      <selection activeCell="C54" sqref="C54"/>
    </sheetView>
  </sheetViews>
  <sheetFormatPr defaultRowHeight="14.45"/>
  <cols>
    <col min="1" max="1" width="64.85546875" customWidth="1"/>
    <col min="2" max="2" width="23.7109375" style="28" customWidth="1"/>
    <col min="3" max="3" width="21" style="28" customWidth="1"/>
  </cols>
  <sheetData>
    <row r="1" spans="1:3">
      <c r="A1" s="28" t="s">
        <v>211</v>
      </c>
      <c r="B1" s="165" t="s">
        <v>212</v>
      </c>
      <c r="C1" s="165" t="s">
        <v>213</v>
      </c>
    </row>
    <row r="2" spans="1:3" ht="15" thickBot="1">
      <c r="A2" s="181" t="s">
        <v>214</v>
      </c>
      <c r="B2" s="166">
        <v>0.31</v>
      </c>
      <c r="C2" s="170">
        <v>0.50460000000000005</v>
      </c>
    </row>
    <row r="3" spans="1:3" ht="15" thickBot="1">
      <c r="A3" s="182" t="s">
        <v>215</v>
      </c>
      <c r="B3" s="167">
        <v>0.51</v>
      </c>
      <c r="C3" s="171">
        <v>0.85209999999999997</v>
      </c>
    </row>
    <row r="4" spans="1:3" ht="15" thickBot="1">
      <c r="A4" s="183" t="s">
        <v>216</v>
      </c>
      <c r="B4" s="168">
        <v>0.79</v>
      </c>
      <c r="C4" s="172">
        <v>0.21759999999999999</v>
      </c>
    </row>
    <row r="5" spans="1:3" ht="15" thickBot="1">
      <c r="A5" s="182" t="s">
        <v>217</v>
      </c>
      <c r="B5" s="167">
        <v>0.91</v>
      </c>
      <c r="C5" s="171">
        <v>0.40899999999999997</v>
      </c>
    </row>
    <row r="6" spans="1:3" ht="15" thickBot="1">
      <c r="A6" s="184" t="s">
        <v>218</v>
      </c>
      <c r="B6" s="169">
        <v>0.92</v>
      </c>
      <c r="C6" s="173">
        <v>0.50760000000000005</v>
      </c>
    </row>
    <row r="7" spans="1:3" ht="15" thickBot="1">
      <c r="A7" s="184" t="s">
        <v>219</v>
      </c>
      <c r="B7" s="169">
        <v>0.92</v>
      </c>
      <c r="C7" s="173">
        <v>0.3039</v>
      </c>
    </row>
    <row r="8" spans="1:3" ht="15" thickBot="1">
      <c r="A8" s="182" t="s">
        <v>220</v>
      </c>
      <c r="B8" s="167">
        <v>0.93</v>
      </c>
      <c r="C8" s="171">
        <v>0.55740000000000001</v>
      </c>
    </row>
    <row r="9" spans="1:3" ht="15" thickBot="1">
      <c r="A9" s="182" t="s">
        <v>221</v>
      </c>
      <c r="B9" s="167">
        <v>0.98</v>
      </c>
      <c r="C9" s="171">
        <v>0.44030000000000002</v>
      </c>
    </row>
    <row r="10" spans="1:3" ht="15" thickBot="1">
      <c r="A10" s="184" t="s">
        <v>222</v>
      </c>
      <c r="B10" s="169">
        <v>0.99</v>
      </c>
      <c r="C10" s="173">
        <v>0.47510000000000002</v>
      </c>
    </row>
    <row r="11" spans="1:3" ht="15" thickBot="1">
      <c r="A11" s="182" t="s">
        <v>223</v>
      </c>
      <c r="B11" s="167">
        <v>1.01</v>
      </c>
      <c r="C11" s="171">
        <v>0.46689999999999998</v>
      </c>
    </row>
    <row r="12" spans="1:3" ht="15" thickBot="1">
      <c r="A12" s="182" t="s">
        <v>224</v>
      </c>
      <c r="B12" s="167">
        <v>1.04</v>
      </c>
      <c r="C12" s="171">
        <v>0.92249999999999999</v>
      </c>
    </row>
    <row r="13" spans="1:3" ht="15" thickBot="1">
      <c r="A13" s="184" t="s">
        <v>225</v>
      </c>
      <c r="B13" s="169">
        <v>1.0900000000000001</v>
      </c>
      <c r="C13" s="173">
        <v>0.69179999999999997</v>
      </c>
    </row>
    <row r="14" spans="1:3" ht="15" thickBot="1">
      <c r="A14" s="184" t="s">
        <v>226</v>
      </c>
      <c r="B14" s="169">
        <v>1.1499999999999999</v>
      </c>
      <c r="C14" s="173">
        <v>0.66180000000000005</v>
      </c>
    </row>
    <row r="15" spans="1:3" ht="15" thickBot="1">
      <c r="A15" s="182" t="s">
        <v>227</v>
      </c>
      <c r="B15" s="167">
        <v>1.31</v>
      </c>
      <c r="C15" s="171">
        <v>0.41</v>
      </c>
    </row>
    <row r="16" spans="1:3" ht="15" thickBot="1">
      <c r="A16" s="182" t="s">
        <v>228</v>
      </c>
      <c r="B16" s="167">
        <v>1.35</v>
      </c>
      <c r="C16" s="171">
        <v>0.74619999999999997</v>
      </c>
    </row>
    <row r="17" spans="1:3" ht="15" thickBot="1">
      <c r="A17" s="184" t="s">
        <v>229</v>
      </c>
      <c r="B17" s="169">
        <v>1.4</v>
      </c>
      <c r="C17" s="173">
        <v>0.41239999999999999</v>
      </c>
    </row>
    <row r="18" spans="1:3" ht="15" thickBot="1">
      <c r="A18" s="184" t="s">
        <v>230</v>
      </c>
      <c r="B18" s="169">
        <v>1.47</v>
      </c>
      <c r="C18" s="173">
        <v>0.52080000000000004</v>
      </c>
    </row>
    <row r="19" spans="1:3" ht="15" thickBot="1">
      <c r="A19" s="182" t="s">
        <v>231</v>
      </c>
      <c r="B19" s="167">
        <v>1.49</v>
      </c>
      <c r="C19" s="171">
        <v>0.83540000000000003</v>
      </c>
    </row>
    <row r="20" spans="1:3" ht="15" thickBot="1">
      <c r="A20" s="182" t="s">
        <v>232</v>
      </c>
      <c r="B20" s="167">
        <v>1.5</v>
      </c>
      <c r="C20" s="171">
        <v>0.59089999999999998</v>
      </c>
    </row>
    <row r="21" spans="1:3" ht="15" thickBot="1">
      <c r="A21" s="184" t="s">
        <v>233</v>
      </c>
      <c r="B21" s="169">
        <v>1.54</v>
      </c>
      <c r="C21" s="173">
        <v>0.64419999999999999</v>
      </c>
    </row>
    <row r="22" spans="1:3" ht="15" thickBot="1">
      <c r="A22" s="184" t="s">
        <v>234</v>
      </c>
      <c r="B22" s="169">
        <v>1.57</v>
      </c>
      <c r="C22" s="173">
        <v>0.42030000000000001</v>
      </c>
    </row>
    <row r="23" spans="1:3" ht="15" thickBot="1">
      <c r="A23" s="182" t="s">
        <v>235</v>
      </c>
      <c r="B23" s="167">
        <v>1.57</v>
      </c>
      <c r="C23" s="171">
        <v>0.63619999999999999</v>
      </c>
    </row>
    <row r="24" spans="1:3" ht="15" thickBot="1">
      <c r="A24" s="184" t="s">
        <v>236</v>
      </c>
      <c r="B24" s="169">
        <v>1.65</v>
      </c>
      <c r="C24" s="173">
        <v>0.54279999999999995</v>
      </c>
    </row>
    <row r="25" spans="1:3" ht="15" thickBot="1">
      <c r="A25" s="184" t="s">
        <v>237</v>
      </c>
      <c r="B25" s="169">
        <v>1.71</v>
      </c>
      <c r="C25" s="173">
        <v>0.9304</v>
      </c>
    </row>
    <row r="26" spans="1:3" ht="15" thickBot="1">
      <c r="A26" s="184" t="s">
        <v>238</v>
      </c>
      <c r="B26" s="169">
        <v>1.73</v>
      </c>
      <c r="C26" s="173">
        <v>0.61529999999999996</v>
      </c>
    </row>
    <row r="27" spans="1:3" ht="15" thickBot="1">
      <c r="A27" s="184" t="s">
        <v>239</v>
      </c>
      <c r="B27" s="169">
        <v>1.76</v>
      </c>
      <c r="C27" s="173">
        <v>0.41070000000000001</v>
      </c>
    </row>
    <row r="28" spans="1:3" ht="15" thickBot="1">
      <c r="A28" s="182" t="s">
        <v>240</v>
      </c>
      <c r="B28" s="167">
        <v>1.77</v>
      </c>
      <c r="C28" s="171">
        <v>0.28999999999999998</v>
      </c>
    </row>
    <row r="29" spans="1:3" ht="15" thickBot="1">
      <c r="A29" s="184" t="s">
        <v>241</v>
      </c>
      <c r="B29" s="169">
        <v>1.93</v>
      </c>
      <c r="C29" s="173">
        <v>0.75829999999999997</v>
      </c>
    </row>
    <row r="30" spans="1:3" ht="15" thickBot="1">
      <c r="A30" s="184" t="s">
        <v>242</v>
      </c>
      <c r="B30" s="169">
        <v>1.93</v>
      </c>
      <c r="C30" s="173">
        <v>0.54549999999999998</v>
      </c>
    </row>
    <row r="31" spans="1:3" ht="15" thickBot="1">
      <c r="A31" s="182" t="s">
        <v>243</v>
      </c>
      <c r="B31" s="167">
        <v>1.95</v>
      </c>
      <c r="C31" s="171">
        <v>0.91749999999999998</v>
      </c>
    </row>
    <row r="32" spans="1:3" ht="15" thickBot="1">
      <c r="A32" s="184" t="s">
        <v>244</v>
      </c>
      <c r="B32" s="169">
        <v>2</v>
      </c>
      <c r="C32" s="173">
        <v>0.56920000000000004</v>
      </c>
    </row>
    <row r="33" spans="1:3" ht="15" thickBot="1">
      <c r="A33" s="184" t="s">
        <v>245</v>
      </c>
      <c r="B33" s="169">
        <v>2</v>
      </c>
      <c r="C33" s="173">
        <v>0.7843</v>
      </c>
    </row>
    <row r="34" spans="1:3" ht="15" thickBot="1">
      <c r="A34" s="182" t="s">
        <v>246</v>
      </c>
      <c r="B34" s="167">
        <v>2</v>
      </c>
      <c r="C34" s="171">
        <v>0.68959999999999999</v>
      </c>
    </row>
    <row r="35" spans="1:3" ht="15" thickBot="1">
      <c r="A35" s="182" t="s">
        <v>247</v>
      </c>
      <c r="B35" s="167">
        <v>2.0699999999999998</v>
      </c>
      <c r="C35" s="171">
        <v>0.10199999999999999</v>
      </c>
    </row>
    <row r="36" spans="1:3" ht="15" thickBot="1">
      <c r="A36" s="184" t="s">
        <v>248</v>
      </c>
      <c r="B36" s="169">
        <v>2.09</v>
      </c>
      <c r="C36" s="173">
        <v>0.73170000000000002</v>
      </c>
    </row>
    <row r="37" spans="1:3" ht="15" thickBot="1">
      <c r="A37" s="182" t="s">
        <v>249</v>
      </c>
      <c r="B37" s="167">
        <v>2.12</v>
      </c>
      <c r="C37" s="171">
        <v>0.60640000000000005</v>
      </c>
    </row>
    <row r="38" spans="1:3" ht="15" thickBot="1">
      <c r="A38" s="184" t="s">
        <v>250</v>
      </c>
      <c r="B38" s="169">
        <v>2.17</v>
      </c>
      <c r="C38" s="173">
        <v>0.42609999999999998</v>
      </c>
    </row>
    <row r="39" spans="1:3" ht="15" thickBot="1">
      <c r="A39" s="184" t="s">
        <v>251</v>
      </c>
      <c r="B39" s="169">
        <v>2.1800000000000002</v>
      </c>
      <c r="C39" s="173">
        <v>0.57430000000000003</v>
      </c>
    </row>
    <row r="40" spans="1:3" ht="15" thickBot="1">
      <c r="A40" s="184" t="s">
        <v>252</v>
      </c>
      <c r="B40" s="169">
        <v>2.19</v>
      </c>
      <c r="C40" s="173">
        <v>0.60140000000000005</v>
      </c>
    </row>
    <row r="41" spans="1:3" ht="15" thickBot="1">
      <c r="A41" s="184" t="s">
        <v>253</v>
      </c>
      <c r="B41" s="169">
        <v>2.2000000000000002</v>
      </c>
      <c r="C41" s="173">
        <v>0.65600000000000003</v>
      </c>
    </row>
    <row r="42" spans="1:3" ht="15" thickBot="1">
      <c r="A42" s="184" t="s">
        <v>254</v>
      </c>
      <c r="B42" s="169">
        <v>2.23</v>
      </c>
      <c r="C42" s="173">
        <v>0.62490000000000001</v>
      </c>
    </row>
    <row r="43" spans="1:3" ht="15" thickBot="1">
      <c r="A43" s="184" t="s">
        <v>255</v>
      </c>
      <c r="B43" s="169">
        <v>2.2400000000000002</v>
      </c>
      <c r="C43" s="173">
        <v>1.5548</v>
      </c>
    </row>
    <row r="44" spans="1:3" ht="15" thickBot="1">
      <c r="A44" s="182" t="s">
        <v>256</v>
      </c>
      <c r="B44" s="167">
        <v>2.2999999999999998</v>
      </c>
      <c r="C44" s="171">
        <v>1.2777000000000001</v>
      </c>
    </row>
    <row r="45" spans="1:3" ht="15" thickBot="1">
      <c r="A45" s="184" t="s">
        <v>257</v>
      </c>
      <c r="B45" s="169">
        <v>2.5</v>
      </c>
      <c r="C45" s="173">
        <v>0.5343</v>
      </c>
    </row>
    <row r="46" spans="1:3" ht="15" thickBot="1">
      <c r="A46" s="184" t="s">
        <v>258</v>
      </c>
      <c r="B46" s="169">
        <v>2.5</v>
      </c>
      <c r="C46" s="173">
        <v>0.97130000000000005</v>
      </c>
    </row>
    <row r="47" spans="1:3" ht="15" thickBot="1">
      <c r="A47" s="184" t="s">
        <v>259</v>
      </c>
      <c r="B47" s="169">
        <v>2.54</v>
      </c>
      <c r="C47" s="173">
        <v>0.92930000000000001</v>
      </c>
    </row>
    <row r="48" spans="1:3" ht="15" thickBot="1">
      <c r="A48" s="182" t="s">
        <v>260</v>
      </c>
      <c r="B48" s="167">
        <v>2.54</v>
      </c>
      <c r="C48" s="171">
        <v>0.55840000000000001</v>
      </c>
    </row>
    <row r="49" spans="1:3" ht="15" thickBot="1">
      <c r="A49" s="182" t="s">
        <v>261</v>
      </c>
      <c r="B49" s="167">
        <v>2.56</v>
      </c>
      <c r="C49" s="171">
        <v>0.8921</v>
      </c>
    </row>
    <row r="50" spans="1:3" ht="15" thickBot="1">
      <c r="A50" s="184" t="s">
        <v>262</v>
      </c>
      <c r="B50" s="169">
        <v>2.6</v>
      </c>
      <c r="C50" s="173">
        <v>0.51919999999999999</v>
      </c>
    </row>
    <row r="51" spans="1:3" ht="15" thickBot="1">
      <c r="A51" s="182" t="s">
        <v>263</v>
      </c>
      <c r="B51" s="167">
        <v>2.68</v>
      </c>
      <c r="C51" s="171">
        <v>0</v>
      </c>
    </row>
    <row r="52" spans="1:3" ht="15" thickBot="1">
      <c r="A52" s="184" t="s">
        <v>264</v>
      </c>
      <c r="B52" s="169">
        <v>2.78</v>
      </c>
      <c r="C52" s="173">
        <v>0.76380000000000003</v>
      </c>
    </row>
    <row r="53" spans="1:3" ht="15" thickBot="1">
      <c r="A53" s="182" t="s">
        <v>265</v>
      </c>
      <c r="B53" s="167">
        <v>2.79</v>
      </c>
      <c r="C53" s="171">
        <v>0.43540000000000001</v>
      </c>
    </row>
    <row r="54" spans="1:3" ht="15" thickBot="1">
      <c r="A54" s="182" t="s">
        <v>266</v>
      </c>
      <c r="B54" s="167">
        <v>2.8</v>
      </c>
      <c r="C54" s="171">
        <v>0.94440000000000002</v>
      </c>
    </row>
    <row r="55" spans="1:3" ht="15" thickBot="1">
      <c r="A55" s="184" t="s">
        <v>267</v>
      </c>
      <c r="B55" s="169">
        <v>2.84</v>
      </c>
      <c r="C55" s="173">
        <v>0.68859999999999999</v>
      </c>
    </row>
    <row r="56" spans="1:3" ht="15" thickBot="1">
      <c r="A56" s="182" t="s">
        <v>268</v>
      </c>
      <c r="B56" s="167">
        <v>2.85</v>
      </c>
      <c r="C56" s="171">
        <v>0.50129999999999997</v>
      </c>
    </row>
    <row r="57" spans="1:3" ht="15" thickBot="1">
      <c r="A57" s="184" t="s">
        <v>269</v>
      </c>
      <c r="B57" s="169">
        <v>2.88</v>
      </c>
      <c r="C57" s="173">
        <v>0.62180000000000002</v>
      </c>
    </row>
    <row r="58" spans="1:3" ht="15" thickBot="1">
      <c r="A58" s="184" t="s">
        <v>270</v>
      </c>
      <c r="B58" s="169">
        <v>2.91</v>
      </c>
      <c r="C58" s="173">
        <v>0.35399999999999998</v>
      </c>
    </row>
    <row r="59" spans="1:3" ht="15" thickBot="1">
      <c r="A59" s="182" t="s">
        <v>271</v>
      </c>
      <c r="B59" s="167">
        <v>3.01</v>
      </c>
      <c r="C59" s="171">
        <v>0.66800000000000004</v>
      </c>
    </row>
    <row r="60" spans="1:3" ht="15" thickBot="1">
      <c r="A60" s="182" t="s">
        <v>272</v>
      </c>
      <c r="B60" s="167">
        <v>3.04</v>
      </c>
      <c r="C60" s="171">
        <v>0.5171</v>
      </c>
    </row>
    <row r="61" spans="1:3" ht="15" thickBot="1">
      <c r="A61" s="182" t="s">
        <v>273</v>
      </c>
      <c r="B61" s="167">
        <v>3.06</v>
      </c>
      <c r="C61" s="171">
        <v>0.373</v>
      </c>
    </row>
    <row r="62" spans="1:3" ht="15" thickBot="1">
      <c r="A62" s="184" t="s">
        <v>274</v>
      </c>
      <c r="B62" s="169">
        <v>3.11</v>
      </c>
      <c r="C62" s="173">
        <v>0.74129999999999996</v>
      </c>
    </row>
    <row r="63" spans="1:3" ht="15" thickBot="1">
      <c r="A63" s="184" t="s">
        <v>275</v>
      </c>
      <c r="B63" s="169">
        <v>3.12</v>
      </c>
      <c r="C63" s="173">
        <v>0.5696</v>
      </c>
    </row>
    <row r="64" spans="1:3" ht="15" thickBot="1">
      <c r="A64" s="182" t="s">
        <v>276</v>
      </c>
      <c r="B64" s="167">
        <v>3.23</v>
      </c>
      <c r="C64" s="171">
        <v>0.8397</v>
      </c>
    </row>
    <row r="65" spans="1:3" ht="15" thickBot="1">
      <c r="A65" s="182" t="s">
        <v>277</v>
      </c>
      <c r="B65" s="167">
        <v>3.24</v>
      </c>
      <c r="C65" s="171">
        <v>0.38700000000000001</v>
      </c>
    </row>
    <row r="66" spans="1:3" ht="15" thickBot="1">
      <c r="A66" s="182" t="s">
        <v>278</v>
      </c>
      <c r="B66" s="167">
        <v>3.29</v>
      </c>
      <c r="C66" s="171">
        <v>0.67359999999999998</v>
      </c>
    </row>
    <row r="67" spans="1:3" ht="15" thickBot="1">
      <c r="A67" s="182" t="s">
        <v>279</v>
      </c>
      <c r="B67" s="167">
        <v>3.35</v>
      </c>
      <c r="C67" s="171">
        <v>0.95340000000000003</v>
      </c>
    </row>
    <row r="68" spans="1:3" ht="15" thickBot="1">
      <c r="A68" s="184" t="s">
        <v>280</v>
      </c>
      <c r="B68" s="169">
        <v>3.46</v>
      </c>
      <c r="C68" s="173">
        <v>0.40350000000000003</v>
      </c>
    </row>
    <row r="69" spans="1:3" ht="15" thickBot="1">
      <c r="A69" s="184" t="s">
        <v>281</v>
      </c>
      <c r="B69" s="169">
        <v>3.46</v>
      </c>
      <c r="C69" s="173">
        <v>0.63580000000000003</v>
      </c>
    </row>
    <row r="70" spans="1:3" ht="15" thickBot="1">
      <c r="A70" s="182" t="s">
        <v>282</v>
      </c>
      <c r="B70" s="167">
        <v>3.49</v>
      </c>
      <c r="C70" s="171">
        <v>0.3377</v>
      </c>
    </row>
    <row r="71" spans="1:3" ht="15" thickBot="1">
      <c r="A71" s="182" t="s">
        <v>283</v>
      </c>
      <c r="B71" s="167">
        <v>3.55</v>
      </c>
      <c r="C71" s="171">
        <v>0.50470000000000004</v>
      </c>
    </row>
    <row r="72" spans="1:3" ht="15" thickBot="1">
      <c r="A72" s="182" t="s">
        <v>284</v>
      </c>
      <c r="B72" s="167">
        <v>3.66</v>
      </c>
      <c r="C72" s="171">
        <v>0.66020000000000001</v>
      </c>
    </row>
    <row r="73" spans="1:3" ht="15" thickBot="1">
      <c r="A73" s="184" t="s">
        <v>285</v>
      </c>
      <c r="B73" s="169">
        <v>3.75</v>
      </c>
      <c r="C73" s="173">
        <v>0.84709999999999996</v>
      </c>
    </row>
    <row r="74" spans="1:3" ht="15" thickBot="1">
      <c r="A74" s="182" t="s">
        <v>286</v>
      </c>
      <c r="B74" s="167">
        <v>3.82</v>
      </c>
      <c r="C74" s="171">
        <v>0.77239999999999998</v>
      </c>
    </row>
    <row r="75" spans="1:3" ht="15" thickBot="1">
      <c r="A75" s="182" t="s">
        <v>287</v>
      </c>
      <c r="B75" s="167">
        <v>3.86</v>
      </c>
      <c r="C75" s="171">
        <v>0.53990000000000005</v>
      </c>
    </row>
    <row r="76" spans="1:3" ht="15" thickBot="1">
      <c r="A76" s="184" t="s">
        <v>288</v>
      </c>
      <c r="B76" s="169">
        <v>3.94</v>
      </c>
      <c r="C76" s="173">
        <v>0.26050000000000001</v>
      </c>
    </row>
    <row r="77" spans="1:3" ht="15" thickBot="1">
      <c r="A77" s="182" t="s">
        <v>289</v>
      </c>
      <c r="B77" s="167">
        <v>3.98</v>
      </c>
      <c r="C77" s="171">
        <v>0.90059999999999996</v>
      </c>
    </row>
    <row r="78" spans="1:3" ht="15" thickBot="1">
      <c r="A78" s="184" t="s">
        <v>290</v>
      </c>
      <c r="B78" s="169">
        <v>4.01</v>
      </c>
      <c r="C78" s="173">
        <v>0.78359999999999996</v>
      </c>
    </row>
    <row r="79" spans="1:3" ht="15" thickBot="1">
      <c r="A79" s="182" t="s">
        <v>291</v>
      </c>
      <c r="B79" s="167">
        <v>4.22</v>
      </c>
      <c r="C79" s="171">
        <v>0.70479999999999998</v>
      </c>
    </row>
    <row r="80" spans="1:3" ht="15" thickBot="1">
      <c r="A80" s="184" t="s">
        <v>292</v>
      </c>
      <c r="B80" s="169">
        <v>4.41</v>
      </c>
      <c r="C80" s="173">
        <v>0.53869999999999996</v>
      </c>
    </row>
    <row r="81" spans="1:3" ht="15" thickBot="1">
      <c r="A81" s="184" t="s">
        <v>293</v>
      </c>
      <c r="B81" s="169">
        <v>4.43</v>
      </c>
      <c r="C81" s="173">
        <v>0.78510000000000002</v>
      </c>
    </row>
    <row r="82" spans="1:3" ht="15" thickBot="1">
      <c r="A82" s="184" t="s">
        <v>294</v>
      </c>
      <c r="B82" s="169">
        <v>4.5199999999999996</v>
      </c>
      <c r="C82" s="173">
        <v>0.47760000000000002</v>
      </c>
    </row>
    <row r="83" spans="1:3" ht="15" thickBot="1">
      <c r="A83" s="184" t="s">
        <v>295</v>
      </c>
      <c r="B83" s="169">
        <v>4.62</v>
      </c>
      <c r="C83" s="173">
        <v>0.31619999999999998</v>
      </c>
    </row>
    <row r="84" spans="1:3" ht="15" thickBot="1">
      <c r="A84" s="184" t="s">
        <v>296</v>
      </c>
      <c r="B84" s="169">
        <v>4.6500000000000004</v>
      </c>
      <c r="C84" s="173">
        <v>1.1673</v>
      </c>
    </row>
    <row r="85" spans="1:3" ht="15" thickBot="1">
      <c r="A85" s="182" t="s">
        <v>297</v>
      </c>
      <c r="B85" s="167">
        <v>4.74</v>
      </c>
      <c r="C85" s="171">
        <v>0.53620000000000001</v>
      </c>
    </row>
    <row r="86" spans="1:3" ht="15" thickBot="1">
      <c r="A86" s="184" t="s">
        <v>298</v>
      </c>
      <c r="B86" s="169">
        <v>4.8899999999999997</v>
      </c>
      <c r="C86" s="173">
        <v>0.81530000000000002</v>
      </c>
    </row>
    <row r="87" spans="1:3" ht="15" thickBot="1">
      <c r="A87" s="182" t="s">
        <v>299</v>
      </c>
      <c r="B87" s="167">
        <v>5.01</v>
      </c>
      <c r="C87" s="171">
        <v>0.50529999999999997</v>
      </c>
    </row>
    <row r="88" spans="1:3" ht="15" thickBot="1">
      <c r="A88" s="184" t="s">
        <v>300</v>
      </c>
      <c r="B88" s="169">
        <v>5.03</v>
      </c>
      <c r="C88" s="173">
        <v>0.89649999999999996</v>
      </c>
    </row>
    <row r="89" spans="1:3" ht="15" thickBot="1">
      <c r="A89" s="184" t="s">
        <v>301</v>
      </c>
      <c r="B89" s="169">
        <v>5.08</v>
      </c>
      <c r="C89" s="173">
        <v>0.68</v>
      </c>
    </row>
    <row r="90" spans="1:3" ht="15" thickBot="1">
      <c r="A90" s="182" t="s">
        <v>302</v>
      </c>
      <c r="B90" s="167">
        <v>5.15</v>
      </c>
      <c r="C90" s="171">
        <v>0.72809999999999997</v>
      </c>
    </row>
    <row r="91" spans="1:3" ht="15" thickBot="1">
      <c r="A91" s="182" t="s">
        <v>303</v>
      </c>
      <c r="B91" s="167">
        <v>5.19</v>
      </c>
      <c r="C91" s="171">
        <v>0.59870000000000001</v>
      </c>
    </row>
    <row r="92" spans="1:3" ht="15" thickBot="1">
      <c r="A92" s="182" t="s">
        <v>304</v>
      </c>
      <c r="B92" s="167">
        <v>5.22</v>
      </c>
      <c r="C92" s="171">
        <v>0.7157</v>
      </c>
    </row>
    <row r="93" spans="1:3" ht="15" thickBot="1">
      <c r="A93" s="184" t="s">
        <v>305</v>
      </c>
      <c r="B93" s="169">
        <v>5.31</v>
      </c>
      <c r="C93" s="173">
        <v>0.87890000000000001</v>
      </c>
    </row>
    <row r="94" spans="1:3" ht="15" thickBot="1">
      <c r="A94" s="184" t="s">
        <v>306</v>
      </c>
      <c r="B94" s="169">
        <v>5.35</v>
      </c>
      <c r="C94" s="173">
        <v>0.47660000000000002</v>
      </c>
    </row>
    <row r="95" spans="1:3" ht="15" thickBot="1">
      <c r="A95" s="182" t="s">
        <v>307</v>
      </c>
      <c r="B95" s="167">
        <v>5.5</v>
      </c>
      <c r="C95" s="171">
        <v>0.29339999999999999</v>
      </c>
    </row>
    <row r="96" spans="1:3" ht="16.149999999999999" customHeight="1" thickBot="1">
      <c r="A96" s="182" t="s">
        <v>308</v>
      </c>
      <c r="B96" s="167">
        <v>5.59</v>
      </c>
      <c r="C96" s="171">
        <v>1.2314000000000001</v>
      </c>
    </row>
    <row r="97" spans="1:3" ht="15" thickBot="1">
      <c r="A97" s="184" t="s">
        <v>309</v>
      </c>
      <c r="B97" s="169">
        <v>5.72</v>
      </c>
      <c r="C97" s="173">
        <v>0.4728</v>
      </c>
    </row>
    <row r="98" spans="1:3" ht="15" thickBot="1">
      <c r="A98" s="184" t="s">
        <v>310</v>
      </c>
      <c r="B98" s="169">
        <v>5.95</v>
      </c>
      <c r="C98" s="173">
        <v>0.97799999999999998</v>
      </c>
    </row>
    <row r="99" spans="1:3" ht="15" thickBot="1">
      <c r="A99" s="182" t="s">
        <v>311</v>
      </c>
      <c r="B99" s="167">
        <v>6.01</v>
      </c>
      <c r="C99" s="171">
        <v>0.76090000000000002</v>
      </c>
    </row>
    <row r="100" spans="1:3" ht="15" thickBot="1">
      <c r="A100" s="184" t="s">
        <v>312</v>
      </c>
      <c r="B100" s="169">
        <v>6.08</v>
      </c>
      <c r="C100" s="173">
        <v>0.504</v>
      </c>
    </row>
    <row r="101" spans="1:3" ht="15" thickBot="1">
      <c r="A101" s="184" t="s">
        <v>313</v>
      </c>
      <c r="B101" s="169">
        <v>6.15</v>
      </c>
      <c r="C101" s="173">
        <v>0</v>
      </c>
    </row>
    <row r="102" spans="1:3" ht="15" thickBot="1">
      <c r="A102" s="182" t="s">
        <v>314</v>
      </c>
      <c r="B102" s="167">
        <v>6.19</v>
      </c>
      <c r="C102" s="171">
        <v>0.59150000000000003</v>
      </c>
    </row>
    <row r="103" spans="1:3" ht="15" thickBot="1">
      <c r="A103" s="182" t="s">
        <v>315</v>
      </c>
      <c r="B103" s="167">
        <v>6.25</v>
      </c>
      <c r="C103" s="171">
        <v>0.51839999999999997</v>
      </c>
    </row>
    <row r="104" spans="1:3" ht="15" thickBot="1">
      <c r="A104" s="182" t="s">
        <v>316</v>
      </c>
      <c r="B104" s="167">
        <v>6.51</v>
      </c>
      <c r="C104" s="171">
        <v>0.5101</v>
      </c>
    </row>
    <row r="105" spans="1:3" ht="15" thickBot="1">
      <c r="A105" s="182" t="s">
        <v>317</v>
      </c>
      <c r="B105" s="167">
        <v>6.54</v>
      </c>
      <c r="C105" s="171">
        <v>0.74909999999999999</v>
      </c>
    </row>
    <row r="106" spans="1:3" ht="15" thickBot="1">
      <c r="A106" s="182" t="s">
        <v>318</v>
      </c>
      <c r="B106" s="167">
        <v>6.62</v>
      </c>
      <c r="C106" s="171">
        <v>0.76149999999999995</v>
      </c>
    </row>
    <row r="107" spans="1:3" ht="15" thickBot="1">
      <c r="A107" s="182" t="s">
        <v>319</v>
      </c>
      <c r="B107" s="167">
        <v>6.62</v>
      </c>
      <c r="C107" s="171">
        <v>0.94040000000000001</v>
      </c>
    </row>
    <row r="108" spans="1:3" ht="15" thickBot="1">
      <c r="A108" s="182" t="s">
        <v>320</v>
      </c>
      <c r="B108" s="167">
        <v>6.68</v>
      </c>
      <c r="C108" s="171">
        <v>1.1061000000000001</v>
      </c>
    </row>
    <row r="109" spans="1:3" ht="15" thickBot="1">
      <c r="A109" s="182" t="s">
        <v>321</v>
      </c>
      <c r="B109" s="167">
        <v>6.78</v>
      </c>
      <c r="C109" s="171">
        <v>0</v>
      </c>
    </row>
    <row r="110" spans="1:3" ht="15" thickBot="1">
      <c r="A110" s="184" t="s">
        <v>322</v>
      </c>
      <c r="B110" s="169">
        <v>6.81</v>
      </c>
      <c r="C110" s="173">
        <v>0.95750000000000002</v>
      </c>
    </row>
    <row r="111" spans="1:3" ht="15" thickBot="1">
      <c r="A111" s="182" t="s">
        <v>323</v>
      </c>
      <c r="B111" s="167">
        <v>7.16</v>
      </c>
      <c r="C111" s="171">
        <v>0.69210000000000005</v>
      </c>
    </row>
    <row r="112" spans="1:3" ht="15" thickBot="1">
      <c r="A112" s="182" t="s">
        <v>324</v>
      </c>
      <c r="B112" s="167">
        <v>7.31</v>
      </c>
      <c r="C112" s="171">
        <v>0.1236</v>
      </c>
    </row>
    <row r="113" spans="1:3" ht="15" thickBot="1">
      <c r="A113" s="184" t="s">
        <v>325</v>
      </c>
      <c r="B113" s="169">
        <v>7.38</v>
      </c>
      <c r="C113" s="173">
        <v>0.42070000000000002</v>
      </c>
    </row>
    <row r="114" spans="1:3" ht="15" thickBot="1">
      <c r="A114" s="182" t="s">
        <v>326</v>
      </c>
      <c r="B114" s="167">
        <v>7.75</v>
      </c>
      <c r="C114" s="171">
        <v>0.59830000000000005</v>
      </c>
    </row>
    <row r="115" spans="1:3" ht="15" thickBot="1">
      <c r="A115" s="182" t="s">
        <v>327</v>
      </c>
      <c r="B115" s="167">
        <v>7.85</v>
      </c>
      <c r="C115" s="171">
        <v>0.62319999999999998</v>
      </c>
    </row>
    <row r="116" spans="1:3" ht="15" thickBot="1">
      <c r="A116" s="182" t="s">
        <v>328</v>
      </c>
      <c r="B116" s="167">
        <v>8.2899999999999991</v>
      </c>
      <c r="C116" s="171">
        <v>0.57540000000000002</v>
      </c>
    </row>
    <row r="117" spans="1:3" ht="15" thickBot="1">
      <c r="A117" s="184" t="s">
        <v>329</v>
      </c>
      <c r="B117" s="169">
        <v>8.51</v>
      </c>
      <c r="C117" s="173">
        <v>0.624</v>
      </c>
    </row>
    <row r="118" spans="1:3" ht="15" thickBot="1">
      <c r="A118" s="184" t="s">
        <v>330</v>
      </c>
      <c r="B118" s="169">
        <v>8.57</v>
      </c>
      <c r="C118" s="173">
        <v>0.5867</v>
      </c>
    </row>
    <row r="119" spans="1:3" ht="15" thickBot="1">
      <c r="A119" s="182" t="s">
        <v>331</v>
      </c>
      <c r="B119" s="167">
        <v>9.82</v>
      </c>
      <c r="C119" s="171">
        <v>1.0278</v>
      </c>
    </row>
    <row r="120" spans="1:3" ht="15" thickBot="1">
      <c r="A120" s="184" t="s">
        <v>332</v>
      </c>
      <c r="B120" s="169">
        <v>9.9600000000000009</v>
      </c>
      <c r="C120" s="173">
        <v>0.71760000000000002</v>
      </c>
    </row>
    <row r="121" spans="1:3" ht="15" thickBot="1">
      <c r="A121" s="182" t="s">
        <v>333</v>
      </c>
      <c r="B121" s="167">
        <v>10.17</v>
      </c>
      <c r="C121" s="171">
        <v>0.90510000000000002</v>
      </c>
    </row>
    <row r="122" spans="1:3" ht="15" thickBot="1">
      <c r="A122" s="182" t="s">
        <v>334</v>
      </c>
      <c r="B122" s="167">
        <v>10.33</v>
      </c>
      <c r="C122" s="171">
        <v>1.1012999999999999</v>
      </c>
    </row>
    <row r="123" spans="1:3" ht="15" thickBot="1">
      <c r="A123" s="184" t="s">
        <v>335</v>
      </c>
      <c r="B123" s="169">
        <v>10.34</v>
      </c>
      <c r="C123" s="173">
        <v>0.59619999999999995</v>
      </c>
    </row>
    <row r="124" spans="1:3" ht="15" thickBot="1">
      <c r="A124" s="182" t="s">
        <v>336</v>
      </c>
      <c r="B124" s="167">
        <v>12.53</v>
      </c>
      <c r="C124" s="171">
        <v>0.96230000000000004</v>
      </c>
    </row>
    <row r="125" spans="1:3" ht="15" thickBot="1">
      <c r="A125" s="184" t="s">
        <v>337</v>
      </c>
      <c r="B125" s="169">
        <v>12.69</v>
      </c>
      <c r="C125" s="173">
        <v>0.94769999999999999</v>
      </c>
    </row>
    <row r="126" spans="1:3" ht="15" thickBot="1">
      <c r="A126" s="182" t="s">
        <v>338</v>
      </c>
      <c r="B126" s="167">
        <v>14.29</v>
      </c>
      <c r="C126" s="171">
        <v>0.5696</v>
      </c>
    </row>
    <row r="127" spans="1:3" ht="15" thickBot="1">
      <c r="A127" s="182" t="s">
        <v>339</v>
      </c>
      <c r="B127" s="167">
        <v>14.37</v>
      </c>
      <c r="C127" s="171">
        <v>0.91839999999999999</v>
      </c>
    </row>
    <row r="128" spans="1:3" ht="15" thickBot="1">
      <c r="A128" s="184" t="s">
        <v>340</v>
      </c>
      <c r="B128" s="169">
        <v>14.57</v>
      </c>
      <c r="C128" s="173">
        <v>0.95779999999999998</v>
      </c>
    </row>
    <row r="129" spans="1:3" ht="15" thickBot="1">
      <c r="A129" s="184" t="s">
        <v>341</v>
      </c>
      <c r="B129" s="169">
        <v>14.97</v>
      </c>
      <c r="C129" s="173">
        <v>0.47049999999999997</v>
      </c>
    </row>
    <row r="130" spans="1:3" ht="15" customHeight="1" thickBot="1">
      <c r="A130" s="184" t="s">
        <v>342</v>
      </c>
      <c r="B130" s="169">
        <v>16.850000000000001</v>
      </c>
      <c r="C130" s="173">
        <v>0.62780000000000002</v>
      </c>
    </row>
    <row r="131" spans="1:3" ht="15" thickBot="1">
      <c r="A131" s="182" t="s">
        <v>343</v>
      </c>
      <c r="B131" s="167">
        <v>17.18</v>
      </c>
      <c r="C131" s="171">
        <v>0.73850000000000005</v>
      </c>
    </row>
    <row r="132" spans="1:3" ht="15" thickBot="1">
      <c r="A132" s="182" t="s">
        <v>344</v>
      </c>
      <c r="B132" s="167">
        <v>17.62</v>
      </c>
      <c r="C132" s="171">
        <v>0.75580000000000003</v>
      </c>
    </row>
    <row r="133" spans="1:3" ht="13.15" customHeight="1" thickBot="1">
      <c r="A133" s="184" t="s">
        <v>345</v>
      </c>
      <c r="B133" s="169">
        <v>17.75</v>
      </c>
      <c r="C133" s="173">
        <v>1.1105</v>
      </c>
    </row>
    <row r="134" spans="1:3" ht="15" thickBot="1">
      <c r="A134" s="184" t="s">
        <v>346</v>
      </c>
      <c r="B134" s="169">
        <v>17.809999999999999</v>
      </c>
      <c r="C134" s="173">
        <v>1.1216999999999999</v>
      </c>
    </row>
    <row r="135" spans="1:3" ht="15" thickBot="1">
      <c r="A135" s="184" t="s">
        <v>347</v>
      </c>
      <c r="B135" s="169">
        <v>19.54</v>
      </c>
      <c r="C135" s="173">
        <v>0.41670000000000001</v>
      </c>
    </row>
    <row r="136" spans="1:3" ht="15" thickBot="1">
      <c r="A136" s="182" t="s">
        <v>348</v>
      </c>
      <c r="B136" s="167">
        <v>23.45</v>
      </c>
      <c r="C136" s="171">
        <v>1.0467</v>
      </c>
    </row>
    <row r="137" spans="1:3">
      <c r="A137" s="184" t="s">
        <v>349</v>
      </c>
      <c r="B137" s="169">
        <v>31.54</v>
      </c>
      <c r="C137" s="173">
        <v>0.4914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Home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Annett</dc:creator>
  <cp:keywords/>
  <dc:description/>
  <cp:lastModifiedBy/>
  <cp:revision/>
  <dcterms:created xsi:type="dcterms:W3CDTF">2019-06-23T11:09:00Z</dcterms:created>
  <dcterms:modified xsi:type="dcterms:W3CDTF">2024-03-21T17:33:53Z</dcterms:modified>
  <cp:category/>
  <cp:contentStatus/>
</cp:coreProperties>
</file>